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art here" state="visible" r:id="rId4"/>
    <sheet sheetId="2" name="Changes" state="visible" r:id="rId5"/>
    <sheet sheetId="3" name="Open items" state="visible" r:id="rId6"/>
    <sheet sheetId="4" name="Tests" state="visible" r:id="rId7"/>
    <sheet sheetId="5" name="Changes (fork)" state="visible" r:id="rId8"/>
  </sheets>
  <calcPr calcId="171027"/>
</workbook>
</file>

<file path=xl/sharedStrings.xml><?xml version="1.0" encoding="utf-8"?>
<sst xmlns="http://schemas.openxmlformats.org/spreadsheetml/2006/main" count="907" uniqueCount="682">
  <si>
    <t>Cowork — changes, 4 September 2026</t>
  </si>
  <si>
    <t>Branch</t>
  </si>
  <si>
    <t>COWORK_QC_FRONTEND. Everything below is in the working tree and not yet committed.</t>
  </si>
  <si>
    <t>How this sheet is numbered</t>
  </si>
  <si>
    <t>1, 2, 3 …</t>
  </si>
  <si>
    <t>One per change. The thing that was changed, named once.</t>
  </si>
  <si>
    <t>1a, 1b, 1c …</t>
  </si>
  <si>
    <t>Each separate change made to that same thing, in the order they were made. A change with only one part still gets an (a) row, so the shape never varies.</t>
  </si>
  <si>
    <t>Adding to it later</t>
  </si>
  <si>
    <t>Another change to something already listed goes under ITS number as the next letter — not as a new number. A genuinely new thing takes the next number.</t>
  </si>
  <si>
    <t>Example</t>
  </si>
  <si>
    <t>Change 3 is this sheet. Creating it was 3a; adding the time columns to it afterwards was 3b.</t>
  </si>
  <si>
    <t>How the times were recorded</t>
  </si>
  <si>
    <t>Where they come from</t>
  </si>
  <si>
    <t>The session transcript, which timestamps every edit and every command. These are recorded times, not estimates or round numbers. All times are IST (UTC+5:30), 4 September 2026.</t>
  </si>
  <si>
    <t>On a numbered row</t>
  </si>
  <si>
    <t>Started is when the request arrived. Finished is the last recorded action for that change — normally the final test or build run. So it covers reading the code, writing it and checking it.</t>
  </si>
  <si>
    <t>On a lettered row</t>
  </si>
  <si>
    <t>Started and Finished are the first and last edit belonging to that sub-change. It is hands-on-keyboard time only, and excludes the reading and checking either side of it.</t>
  </si>
  <si>
    <t>Why some overlap</t>
  </si>
  <si>
    <t>One file often carried two sub-changes, and one edit sometimes served both. Where that happened the windows overlap rather than being split by guesswork. The lettered rows do not sum to the numbered row, and are not meant to.</t>
  </si>
  <si>
    <t>Why some are seconds</t>
  </si>
  <si>
    <t>Six files were identical to the reference clone's, so they were copied verbatim in one operation. The work was deciding that was safe, which is in the numbered row's window, not the letters'.</t>
  </si>
  <si>
    <t>Two chats, one file</t>
  </si>
  <si>
    <t>Who owns what</t>
  </si>
  <si>
    <t>Two Claude sessions write this workbook. Each owns its own tabs and rebuilds only those, carrying everything else across untouched. This session owns Changes, Open items and Tests; the other owns the tabs marked (fork).</t>
  </si>
  <si>
    <t>Why the refs do not line up</t>
  </si>
  <si>
    <t>The two number independently, so 2a in Changes and 2a in Changes (fork) are different pieces of work. Read a ref together with the tab it sits on. Neither side was renumbered, because the refs are already quoted in each chat.</t>
  </si>
  <si>
    <t>What went wrong before</t>
  </si>
  <si>
    <t>Both scripts rebuilt the WHOLE workbook from their own list, so every save deleted the other session's tabs and whoever saved last won. Fixed on this side; it has to be fixed on the other, or its next save removes these tabs.</t>
  </si>
  <si>
    <t>Status</t>
  </si>
  <si>
    <t>Pending</t>
  </si>
  <si>
    <t>Written and tested, not yet committed or signed off.</t>
  </si>
  <si>
    <t>Committed</t>
  </si>
  <si>
    <t>In the branch.</t>
  </si>
  <si>
    <t>The tabs</t>
  </si>
  <si>
    <t>Changes</t>
  </si>
  <si>
    <t>Every change, numbered and timed. The main sheet.</t>
  </si>
  <si>
    <t>Open items</t>
  </si>
  <si>
    <t>What is waiting on a decision from you, and what is broken but was already broken.</t>
  </si>
  <si>
    <t>Ref</t>
  </si>
  <si>
    <t>Started</t>
  </si>
  <si>
    <t>Finished</t>
  </si>
  <si>
    <t>Time taken</t>
  </si>
  <si>
    <t>Where on the page</t>
  </si>
  <si>
    <t>What I changed</t>
  </si>
  <si>
    <t>Before</t>
  </si>
  <si>
    <t>After</t>
  </si>
  <si>
    <t>Why</t>
  </si>
  <si>
    <t>Files touched</t>
  </si>
  <si>
    <t>4 September 2026</t>
  </si>
  <si>
    <t>1</t>
  </si>
  <si>
    <t>Task chat inside Messages</t>
  </si>
  <si>
    <t>The task discussion moved to where the people already are. Ported from the reference clone on E: into this one — the two have diverged, so it was applied by hand rather than copied.</t>
  </si>
  <si>
    <t>1a</t>
  </si>
  <si>
    <t>Messages ▸ a direct message</t>
  </si>
  <si>
    <t>Two tabs under the person's name — Normal chat and Task chat</t>
  </si>
  <si>
    <t>A direct message had one thread. A task's discussion lived four hops away: open Tasks, find the row, open the task, open the tab. Nothing told you there was anything to read there.</t>
  </si>
  <si>
    <t>A DM with somebody you share live work with carries Normal chat and Task chat. Share no live work and there are no tabs at all — the conversation looks exactly as it did.</t>
  </si>
  <si>
    <t>The conversation was happening in the DM anyway, because the one badge that could have said 'somebody wrote to you about this' never rendered.</t>
  </si>
  <si>
    <t>components/features/messages/MessagesArea.tsx</t>
  </si>
  <si>
    <t>1b</t>
  </si>
  <si>
    <t>Messages ▸ Task chat tab</t>
  </si>
  <si>
    <t>The tab is also the task picker</t>
  </si>
  <si>
    <t>—</t>
  </si>
  <si>
    <t>The chevron on the tab opens the tasks the two of you share, P1 first. Live work only; completed, cancelled and rejected tasks drop out.</t>
  </si>
  <si>
    <t>Choosing a task IS choosing which chat to be in, so it is one control rather than a dropdown sitting beside a tab.</t>
  </si>
  <si>
    <t>components/features/messages/TaskChatPicker.tsx; lib/rules/messages/taskChats.ts</t>
  </si>
  <si>
    <t>1c</t>
  </si>
  <si>
    <t>Task chat ▸ the paperclip</t>
  </si>
  <si>
    <t>Attach a file, or Add submission</t>
  </si>
  <si>
    <t>The paperclip only attached a file. Handing work over meant leaving the conversation for the task's Submission tab.</t>
  </si>
  <si>
    <t>A menu asks which you mean. Add submission opens the real submission form. Anyone who cannot submit gets the file picker directly, with no menu.</t>
  </si>
  <si>
    <t>The same PDF can be a reference or the work itself. Only the sender knows which, and only one of them starts a review — so it is asked rather than guessed from the file.</t>
  </si>
  <si>
    <t>components/features/tasks/ChatPanel.tsx</t>
  </si>
  <si>
    <t>1d</t>
  </si>
  <si>
    <t>Task chat ▸ end of the thread</t>
  </si>
  <si>
    <t>The open submission is shown as a card</t>
  </si>
  <si>
    <t>A line reading 'submitted work for completion review' — a fact with no content. The note and the files were on another screen.</t>
  </si>
  <si>
    <t>Which output, the attempt number, whether it was late, the note the person wrote, and the files themselves.</t>
  </si>
  <si>
    <t>The thread announced a handover and then withheld everything the reviewer needed to act on it.</t>
  </si>
  <si>
    <t>components/features/tasks/TaskChatSubmission.tsx; ChatPanel.tsx</t>
  </si>
  <si>
    <t>1e</t>
  </si>
  <si>
    <t>Task chat ▸ the submitted-work card</t>
  </si>
  <si>
    <t>Approve and Rework on the card itself</t>
  </si>
  <si>
    <t>The decision lived on the task's Review tab — a third screen.</t>
  </si>
  <si>
    <t>The real decision box: the review note, the criteria that were not met, correction files, where the work lands back in the queue, and the deduction waiver. If it is not your decision, the card says who has it.</t>
  </si>
  <si>
    <t>Two buttons opening a dialog put a second screen in front of a choice that is two options and a sentence. It mounts the real component, so the rules cannot drift from the Review tab's.</t>
  </si>
  <si>
    <t>components/features/tasks/ReviewPanel.tsx (ReviewDecisionBox extracted)</t>
  </si>
  <si>
    <t>1f</t>
  </si>
  <si>
    <t>Task chat on a task that has not started</t>
  </si>
  <si>
    <t>The pane says what the task is waiting for</t>
  </si>
  <si>
    <t>'No messages yet', on a blank pane.</t>
  </si>
  <si>
    <t>What it is actually waiting for — confirm the assignment, approve the deadline — with a button through to it: Review the task when it is yours, Open the task when it is not.</t>
  </si>
  <si>
    <t>The thread is now often the first place a task is seen, so a blank pane hid the fact that the task was sitting on your own decision.</t>
  </si>
  <si>
    <t>1g</t>
  </si>
  <si>
    <t>Anywhere a submission attempt is shown</t>
  </si>
  <si>
    <t>The attempt number is counted, not hardcoded</t>
  </si>
  <si>
    <t>Always 'Attempt 1', however many times the work had been sent back.</t>
  </si>
  <si>
    <t>Derived from the task's rework history.</t>
  </si>
  <si>
    <t>Work returned twice and sent back a third time read as a first try, on the one screen whose job is judging it.</t>
  </si>
  <si>
    <t>lib/rules/tasks/submissionFiles.ts; lib/repositories/legacy/index.ts</t>
  </si>
  <si>
    <t>1h</t>
  </si>
  <si>
    <t>The card clears when the work comes back</t>
  </si>
  <si>
    <t>It tested only for a newer attempt replacing this one, so work sent back for rework — which has no replacement yet — still showed as open.</t>
  </si>
  <si>
    <t>It asks whether a decision is actually outstanding.</t>
  </si>
  <si>
    <t>The card sat under the very message announcing the rework, telling the person who had just had their work returned that it was 'waiting on your reviewer'.</t>
  </si>
  <si>
    <t>lib/rules/tasks/outputs.ts; ChatPanel.tsx</t>
  </si>
  <si>
    <t>1i</t>
  </si>
  <si>
    <t>Messages ▸ forwarding a message</t>
  </si>
  <si>
    <t>The conversation you forwarded to now opens</t>
  </si>
  <si>
    <t>A message reading 'Forwarded to dm_GR0045_GR0108.' and you stayed in the thread you sent it from.</t>
  </si>
  <si>
    <t>The destination opens, and its row in the conversation list updates to that message.</t>
  </si>
  <si>
    <t>You could not see whether it landed. Carried in with the same change rather than left behind — say the word if you would rather it were separate.</t>
  </si>
  <si>
    <t>1j</t>
  </si>
  <si>
    <t>Help ▸ the assistant</t>
  </si>
  <si>
    <t>The task-discussion article rewritten</t>
  </si>
  <si>
    <t>It described only the task's own Discussion tab.</t>
  </si>
  <si>
    <t>The two tabs, the picker, the two kinds of attachment, the submitted-work card and its decision, and the not-started notice.</t>
  </si>
  <si>
    <t>Project rule: user-facing behaviour ships with its help update in the same piece of work, or a confident wrong answer outlives the behaviour it described.</t>
  </si>
  <si>
    <t>lib/help/knowledge.ts</t>
  </si>
  <si>
    <t>2</t>
  </si>
  <si>
    <t>The submission and rework cards in a task thread</t>
  </si>
  <si>
    <t>Requested from a screenshot: the two cards should sit on the side of whoever did the thing, and be darker.</t>
  </si>
  <si>
    <t>2a</t>
  </si>
  <si>
    <t>Task chat ▸ submission and rework cards</t>
  </si>
  <si>
    <t>The cards take a side</t>
  </si>
  <si>
    <t>Both centred, so a handover and a return read as the room announcing something rather than as two people answering each other.</t>
  </si>
  <si>
    <t>Yours on the trailing edge, theirs on the leading edge — the same side their messages take.</t>
  </si>
  <si>
    <t>Requested. Side is the channel a chat already uses for this and it costs no ink; centred, you had to read the 11px name at the bottom to tell which of you it was.</t>
  </si>
  <si>
    <t>components/features/tasks/SubmissionEventCard.tsx; ReworkEventCard.tsx; ChatPanel.tsx</t>
  </si>
  <si>
    <t>2b</t>
  </si>
  <si>
    <t>Task chat ▸ the rework card</t>
  </si>
  <si>
    <t>The reviewer is resolved from the name in the line</t>
  </si>
  <si>
    <t>The name the engine wrote into the sentence is matched back to a person. An ambiguous name, an unknown one, or a viewer not yet loaded all answer 'not yours'.</t>
  </si>
  <si>
    <t>A rework is posted as 'system' and carries no sender id, so the name is the only trace of who decided — and a wrong guess would put a reviewer's decision on the assignee's own side of the thread.</t>
  </si>
  <si>
    <t>lib/rules/messages/eventSide.ts</t>
  </si>
  <si>
    <t>2c</t>
  </si>
  <si>
    <t>Task chat ▸ both cards</t>
  </si>
  <si>
    <t>Moved onto a darker surface</t>
  </si>
  <si>
    <t>The raised film the rest of the product uses for lifted cards, which made them the brightest thing in the thread.</t>
  </si>
  <si>
    <t>#1a1b21 in dark, a recessed step in light. Its own token, --event-card, rather than a reused one.</t>
  </si>
  <si>
    <t>Requested. A raised film lifts a card ABOVE the conversation, and these two are part of it. Stated as a solid so it lands on that exact colour whatever sits behind it.</t>
  </si>
  <si>
    <t>app/globals.css</t>
  </si>
  <si>
    <t>2d</t>
  </si>
  <si>
    <t>The coloured accent rule mirrors</t>
  </si>
  <si>
    <t>Always on the left edge.</t>
  </si>
  <si>
    <t>On the outer edge — right for yours, left for theirs.</t>
  </si>
  <si>
    <t>A card on the right would otherwise point its rule back into the middle of the thread. Made in the same edit as 2a, so the window is the same.</t>
  </si>
  <si>
    <t>components/features/tasks/SubmissionEventCard.tsx; ReworkEventCard.tsx</t>
  </si>
  <si>
    <t>3</t>
  </si>
  <si>
    <t>This change log</t>
  </si>
  <si>
    <t>A record of what was changed, kept in the project rather than in a conversation. Routine appends are not themselves logged — only the two times the sheet was asked for something.</t>
  </si>
  <si>
    <t>3a</t>
  </si>
  <si>
    <t>Project root</t>
  </si>
  <si>
    <t>Created the change log</t>
  </si>
  <si>
    <t>Changes were only in the conversation. The last written record was 'Cowork changes 17 Aug 2026.xlsx'.</t>
  </si>
  <si>
    <t>This workbook, following that file's format: same font, same columns, a Start here index and an Open items tab. Numbered per the scheme above.</t>
  </si>
  <si>
    <t>Requested.</t>
  </si>
  <si>
    <t>Cowork changes 4 Sep 2026.xlsx</t>
  </si>
  <si>
    <t>3b</t>
  </si>
  <si>
    <t>Changes tab</t>
  </si>
  <si>
    <t>Added the time log</t>
  </si>
  <si>
    <t>The sheet said what changed and why, but not when, or how long any of it took.</t>
  </si>
  <si>
    <t>Started, Finished and Time taken on every row, recovered from the session transcript rather than estimated. How they were measured is on Start here.</t>
  </si>
  <si>
    <t>Requested — and the times were recoverable exactly, so they are recorded rather than guessed.</t>
  </si>
  <si>
    <t>4</t>
  </si>
  <si>
    <t>Sheets could not load at all</t>
  </si>
  <si>
    <t>Reported from a screenshot: Workspace ▸ Sheets showed '0 sheets' and an error. The cause was not in this repo — the backend route the client calls had never been written.</t>
  </si>
  <si>
    <t>4a</t>
  </si>
  <si>
    <t>Workspace ▸ Sheets</t>
  </si>
  <si>
    <t>The error says which failure it was</t>
  </si>
  <si>
    <t>Every failure that was not a sign-in problem read 'Couldn’t load your sheets.' — true of all of them, useful about none. Finding the real cause meant reading the client, the route and the environment, then probing the backend by hand.</t>
  </si>
  <si>
    <t>Each failure gets its own sentence, and a missing service says so plainly: 'Sheets aren’t available on this server yet. Nothing of yours is lost.' Try again appears only where pressing it could work. The status and the server's message go to the console for whoever is debugging.</t>
  </si>
  <si>
    <t>The old line read as 'your sheets are gone' when nothing of theirs was even involved. The failure kind was already known and was being thrown away by the screen.</t>
  </si>
  <si>
    <t>lib/rules/sheets/loadError.ts (+ test); components/features/spreadsheet/SheetsArea.tsx</t>
  </si>
  <si>
    <t>4b</t>
  </si>
  <si>
    <t>Backend — grav-cms-backend</t>
  </si>
  <si>
    <t>Wrote the /cowork/workbooks route that did not exist</t>
  </si>
  <si>
    <t>The Cowork client had been migrated to call /cowork/workbooks, but routes/task_routes/ had coworkMindmaps.js and coworkDocs.routes.js and no coworkWorkbooks.js. Every workbook call answered 404, so Sheets had been dead since that migration.</t>
  </si>
  <si>
    <t>Twelve endpoints matching the client's existing contract — list, create, open, save, rename, delete, shares, and version history. Stored in Firestore beside the other Cowork collections, split record from grid the way mindmaps are.</t>
  </si>
  <si>
    <t>The client half of the move off the Next server's disk shipped and this half never did. Saves use optimistic concurrency inside a transaction; a restore is a new revision, never a rewind; deletes are soft; auto-snapshots are capped at 20 and named ones are never pruned.</t>
  </si>
  <si>
    <t>grav-cms-backend: routes/task_routes/coworkWorkbooks.js (new); server.js (mount)</t>
  </si>
  <si>
    <t>4c</t>
  </si>
  <si>
    <t>Backend — docs/handoff</t>
  </si>
  <si>
    <t>Recorded the work and the scope conflict</t>
  </si>
  <si>
    <t>A section in docs/handoff/latest-implementation.md covering the defect, the endpoints, the decisions, the 900KB body limit and exactly what was and was not verified.</t>
  </si>
  <si>
    <t>That repo's CLAUDE.md requires the handoff be updated, and requires a conflict with the active task to be surfaced rather than resolved quietly — its active scope is Store &amp; Purchase Chunk 1, which this is not.</t>
  </si>
  <si>
    <t>grav-cms-backend: docs/handoff/latest-implementation.md</t>
  </si>
  <si>
    <t>5</t>
  </si>
  <si>
    <t>Opening files, and sheets that live on your computer</t>
  </si>
  <si>
    <t>Requested: drag and drop to open a file, a sheet backed by a real file on disk that stays current as you work, and a way to make it permanent in the cloud.</t>
  </si>
  <si>
    <t>5a</t>
  </si>
  <si>
    <t>A sheet ▸ anywhere on it</t>
  </si>
  <si>
    <t>Drag a file onto a sheet to open it</t>
  </si>
  <si>
    <t>A file could only be opened through File ▸ Import…, behind a picker. Dropping one on the sheet did nothing useful — the browser navigated away to the file.</t>
  </si>
  <si>
    <t>Drop an .xlsx, .csv or .json anywhere on the sheet. The surface dims and says “Drop to open”, and the sheet takes the file's name as its title.</t>
  </si>
  <si>
    <t>Requested. Which formats open is now one tested rule rather than a chain of endsWith checks copied per caller — the picker and the drop share it, so neither can forget .xlsm.</t>
  </si>
  <si>
    <t>lib/rules/sheets/openFile.ts (+ test); components/features/spreadsheet/openSheetFile.ts; Spreadsheet.tsx</t>
  </si>
  <si>
    <t>5b</t>
  </si>
  <si>
    <t>A sheet ▸ File menu, and the header chip</t>
  </si>
  <si>
    <t>A sheet can live in a file on your computer</t>
  </si>
  <si>
    <t>Export wrote a new file every time and forgot it — a folder of “Q3 plan (3).xlsx”. Nothing connected a sheet to a file on disk.</t>
  </si>
  <si>
    <t>Dropping a file, or File ▸ Open from this computer…, binds the sheet to that exact file: every change is written straight back a second or so after you stop typing. A chip beside the save chip names the file. Save to this computer… does the same for a sheet that began in Cowork; Stop saving to the file ends it and leaves the file untouched.</t>
  </si>
  <si>
    <t>Requested — the desktop behaviour, in a browser. Uses the File System Access API, so the write-back is Chrome and Edge only; elsewhere a dropped file still opens and the message says it is not kept in step rather than letting somebody assume it is. Handles are kept in IndexedDB so a file survives a reload, and the same Autosaver the cloud save uses supplies the debounce.</t>
  </si>
  <si>
    <t>lib/spreadsheet/localFile.ts; components/features/spreadsheet/useLocalFileBinding.ts; WorkbookHeader.tsx; FileMenu.tsx; Ribbon.tsx</t>
  </si>
  <si>
    <t>5c</t>
  </si>
  <si>
    <t>A sheet ▸ File menu</t>
  </si>
  <si>
    <t>Keep a copy in Cowork</t>
  </si>
  <si>
    <t>A sheet opened from a file existed only on that computer — not backed up, not shared, not there from another machine.</t>
  </si>
  <si>
    <t>One item stores it in Cowork alongside everything else: it appears in the Sheets list, can be shared, and gets version history. The file on disk keeps being written too — the copy is an addition, not a move.</t>
  </si>
  <si>
    <t>Requested as “make it permanent”. Offered only while the sheet has no record yet; once it has one, Save already writes there and a second button would be a second name for it.</t>
  </si>
  <si>
    <t>components/features/spreadsheet/FileMenu.tsx</t>
  </si>
  <si>
    <t>5d</t>
  </si>
  <si>
    <t>The Sheets article covers all of it</t>
  </si>
  <si>
    <t>It described import and export only.</t>
  </si>
  <si>
    <t>Drag-and-drop, the file link and its chip, the Chrome/Edge limit, the lapsed-permission Reconnect, Keep a copy in Cowork, and the one case not covered — editing the same file in Excel at the same time.</t>
  </si>
  <si>
    <t>Project rule: user-facing behaviour ships with its help update in the same piece of work.</t>
  </si>
  <si>
    <t>5e</t>
  </si>
  <si>
    <t>A sheet bound to a file</t>
  </si>
  <si>
    <t>Changes made to the file outside Cowork are read back</t>
  </si>
  <si>
    <t>The link went one way only — Cowork wrote to the file, and a change made to that file by Excel or anything else was never noticed. 5b shipped saying so.</t>
  </si>
  <si>
    <t>The file's timestamp is checked every ten seconds. A change with nothing unsaved here is taken straight away; a change with unsaved edits here stops and offers Reload, because one of the two versions has to lose and only a person can say which.</t>
  </si>
  <si>
    <t>Requested. A browser has no filesystem event, so it is a poll — ten seconds is what it costs to notice a save about as fast as somebody would look up. Our own writes record the new timestamp, or the watch would read its own tail and reload in a loop.</t>
  </si>
  <si>
    <t>components/features/spreadsheet/useLocalFileBinding.ts; WorkbookHeader.tsx</t>
  </si>
  <si>
    <t>5f</t>
  </si>
  <si>
    <t>Sheets list ▸ Open file</t>
  </si>
  <si>
    <t>The two ways to open a file are named apart</t>
  </si>
  <si>
    <t>There was one way in — dropping a file — and it did whichever the browser allowed. So you could not tell whether the file on your disk was being kept current or had merely been read once, and the reported case was exactly that: it behaved as an import when the intent was a live link.</t>
  </si>
  <si>
    <t>An Open file button beside New sheet, with two items that each say what they do. “Open from this computer” links the sheet to the file, so edits save straight back to it. “Upload a copy” reads it into Cowork and leaves the file alone. The linking item is only offered where the browser can actually link.</t>
  </si>
  <si>
    <t>Requested. The distinction is real and consequential, and the product was making it silently — the one thing a person cannot check.</t>
  </si>
  <si>
    <t>components/features/spreadsheet/SheetsArea.tsx (+ wiring test)</t>
  </si>
  <si>
    <t>5g</t>
  </si>
  <si>
    <t>A sheet ▸ dropping a file on it</t>
  </si>
  <si>
    <t>A drop asks, and opens in a NEW sheet</t>
  </si>
  <si>
    <t>A dropped file loaded straight over the open sheet. Dropping something to look at it discarded whatever was on screen, with no warning and no undo.</t>
  </si>
  <si>
    <t>The drop names the file and asks. Saying yes saves the sheet you are in — to Cowork and to its file, both, before anything is replaced — and opens the dropped file in a new sheet of its own. Nothing is overwritten. An unsupported file is refused before the question is even asked.</t>
  </si>
  <si>
    <t>Requested. The handle is taken at the moment of the drop rather than when the question is answered: a browser only yields a writable handle from the drop gesture itself, and by the time a dialog has been read that gesture is gone.</t>
  </si>
  <si>
    <t>components/features/spreadsheet/Spreadsheet.tsx (+ wiring test)</t>
  </si>
  <si>
    <t>5h</t>
  </si>
  <si>
    <t>The article matches what the product now does</t>
  </si>
  <si>
    <t>It said dropping a file opened it in place and linked it — both now wrong, and wrong in the direction that loses work.</t>
  </si>
  <si>
    <t>The Open file menu and its two items, and that a drop asks first and opens a new sheet.</t>
  </si>
  <si>
    <t>Project rule, and the sharper reason: an article describing a drop as safe when it used to overwrite is worse than no article.</t>
  </si>
  <si>
    <t>5i</t>
  </si>
  <si>
    <t>A sheet ▸ the header line</t>
  </si>
  <si>
    <t>The notice moved up beside the title</t>
  </si>
  <si>
    <t>It sat in a row of its own between the header and the ribbon, so every notice pushed the whole toolbar down and let it spring back six seconds later — the tabs moved under the pointer.</t>
  </si>
  <si>
    <t>On the header line with the other things that report state. Changing it moves nothing.</t>
  </si>
  <si>
    <t>Requested, and the layout reason is the better one: status should not be able to reflow the toolbar.</t>
  </si>
  <si>
    <t>components/features/spreadsheet/WorkbookHeader.tsx; Spreadsheet.tsx</t>
  </si>
  <si>
    <t>5j</t>
  </si>
  <si>
    <t>Opening a formatted file from this computer</t>
  </si>
  <si>
    <t>A file Cowork cannot reproduce is no longer linked silently</t>
  </si>
  <si>
    <t>**This destroyed a real file.** The change log was opened with the link on; Cowork read it, and the next autosave wrote Cowork's own export back over it — losing the column widths, merged cells, fills, row heights and the stored results of every formula. The values survived, the document did not, and nothing said so.</t>
  </si>
  <si>
    <t>The file is examined before it is linked. If Cowork could not reproduce it, the sheet still opens — reading is lossless — but it asks before saving over it: what the file carries, and that linking strips it. Keep it as a copy is the first answer. A plain grid of data is linked with no fuss.</t>
  </si>
  <si>
    <t>The link was built on 'the editor is the only writer, so two targets are safe'. That reasoning is wrong in one specific way: the editor's MODEL is narrower than the file, so what it cannot hold is not passed through unchanged — it is dropped.</t>
  </si>
  <si>
    <t>lib/rules/sheets/roundTrip.ts (+ test); lib/spreadsheet/xlsxProbe.ts; components/features/spreadsheet/Spreadsheet.tsx</t>
  </si>
  <si>
    <t>6</t>
  </si>
  <si>
    <t>Wrap text now makes the row taller</t>
  </si>
  <si>
    <t>Reported: wrapping text did not grow the row, so anything past the first line was hidden.</t>
  </si>
  <si>
    <t>6a</t>
  </si>
  <si>
    <t>A sheet ▸ a cell with Wrap text on</t>
  </si>
  <si>
    <t>The row grows to fit the wrapped text</t>
  </si>
  <si>
    <t>Wrap set the text to flow onto more lines inside a row that stayed 24px tall, with overflow hidden over it. So turning wrapping ON showed LESS than leaving it off: unwrapped, a long value at least spilled far enough to read; wrapped, every line after the first was cut away. Row heights only ever held values somebody set by hand, and nothing derived one from content.</t>
  </si>
  <si>
    <t>The row takes the height of whichever wrapped cell in it needs the most, and never drops below the normal row height. Widening the column re-flows the text and the row settles back down. A row resized BY HAND keeps that size — dragging a border is you answering the question, and the sheet does not answer it again over the top of you.</t>
  </si>
  <si>
    <t>The height has to be computed before the browser lays the text out, so the wrapped line height is pinned to one constant that both the renderer and the measurement read. Left at CSS “normal” it varies with the font's own metrics, and the prediction would be a line out on somebody else's machine. Long words break by character, as word-break does — without that a pasted URL reports one line and gets clipped to one.</t>
  </si>
  <si>
    <t>lib/spreadsheet/wrapHeight.ts (+ test); components/features/spreadsheet/autoWrapHeights.ts; cellStyle.ts; SpreadsheetGrid.tsx</t>
  </si>
  <si>
    <t>6b</t>
  </si>
  <si>
    <t>The Sheets article explains it</t>
  </si>
  <si>
    <t>Wrap text was not mentioned at all.</t>
  </si>
  <si>
    <t>What wrapping does to the row, that a hand-set height wins, and that widening the column settles it back.</t>
  </si>
  <si>
    <t>6c</t>
  </si>
  <si>
    <t>Opening any .xlsx</t>
  </si>
  <si>
    <t>Column widths and row heights come in with the file</t>
  </si>
  <si>
    <t>Both were dropped on import — colWidths was always empty. A workbook whose columns were sized to hold their text arrived with every column at the default, so text that read perfectly in Excel was cut off here with an ellipsis. Wrapping could not rescue it, because the wrap flag is dropped too.</t>
  </si>
  <si>
    <t>Sizes are carried both ways, converting through Excel's character unit. Verified against this change log: its “Where on the page” column now arrives at 144px rather than the default. Row heights and hidden rows and columns come across as well.</t>
  </si>
  <si>
    <t>Reported as wrapped text still not showing in full. The wrap half is a library limit — SheetJS Community reports a cell's fill but not its alignment, so the flag genuinely cannot be read; that is now stated in the help rather than left to be discovered. The widths were simply never wired.</t>
  </si>
  <si>
    <t>lib/spreadsheet/xlsxMetrics.ts (+ test); lib/spreadsheet/xlsxio.ts</t>
  </si>
  <si>
    <t>6d</t>
  </si>
  <si>
    <t>The text actually wraps now — the real fix</t>
  </si>
  <si>
    <t>6a grew the row, and the row grew. The TEXT never wrapped, so the row got taller around a single clipped line reading 'The change l…'. Two causes, both inside the cell: the text span carried Tailwind's 'truncate', which is white-space: nowrap plus an ellipsis, and it beat the cell's own white-space: normal; and the span is a flex item, whose default min-width: auto refuses to shrink below its content, so even once it wrapped it laid out at its natural width — measured at 372px inside a 100px cell.</t>
  </si>
  <si>
    <t>A wrapping cell's span drops 'truncate' and takes min-w-0, so it shrinks to the column and breaks where the column ends. An unwrapped cell still truncates with an ellipsis, as before.</t>
  </si>
  <si>
    <t>Reported twice, and both earlier attempts missed it because every model-side check passed: the style said wrap, the cell said white-space: normal, the row grew. Found by rendering the grid in a browser on a temporary unauthenticated route and reading the DOM — the give-away was a 372px line box inside a 100px cell. Verified before and after on screen; the route and its auth exception have been removed.</t>
  </si>
  <si>
    <t>components/features/spreadsheet/GridBody.tsx (+ wrapRender test)</t>
  </si>
  <si>
    <t>7</t>
  </si>
  <si>
    <t>Selecting — the toolbar, and what Ctrl A does</t>
  </si>
  <si>
    <t>Reported from a screenshot: dragging highlighted the ribbon's own labels as text, and Ctrl A had no way back once it reached the whole sheet.</t>
  </si>
  <si>
    <t>7a</t>
  </si>
  <si>
    <t>A sheet ▸ the ribbon</t>
  </si>
  <si>
    <t>Dragging across the toolbar no longer selects its labels</t>
  </si>
  <si>
    <t>A drag over the ribbon highlighted “Font”, “Alignment”, “Merge” and the rest as text — and left a text selection behind, so the next Ctrl C copied those words instead of the cells.</t>
  </si>
  <si>
    <t>The ribbon ignores drags. Nothing in it is text anybody needs to take.</t>
  </si>
  <si>
    <t>The grid has carried select-none since it was built, for exactly this reason. The toolbar was simply missed.</t>
  </si>
  <si>
    <t>components/features/spreadsheet/Ribbon.tsx</t>
  </si>
  <si>
    <t>7b</t>
  </si>
  <si>
    <t>A sheet ▸ Ctrl A</t>
  </si>
  <si>
    <t>Ctrl A cycles instead of latching</t>
  </si>
  <si>
    <t>First press took the block of data, second took the whole sheet, and every press after that kept the whole sheet. Overshooting could only be undone by clicking a cell, which also threw away where you were.</t>
  </si>
  <si>
    <t>The third press comes back to the block, and it keeps cycling. A cell with nothing around it still goes straight to the whole sheet and stays — cycling into a one-cell “region” would offer an empty step.</t>
  </si>
  <si>
    <t>Requested. Excel and Sheets latch, and the latch is the reported problem; pressing the same key again is what somebody already does when a toggle goes one step too far. An existing audit test asserted the old latch and was rewritten, with the decision recorded in it.</t>
  </si>
  <si>
    <t>lib/spreadsheet/selection.ts (+ tests); selection.audit.test.ts</t>
  </si>
  <si>
    <t>7c</t>
  </si>
  <si>
    <t>A sheet ▸ the bar along the bottom</t>
  </si>
  <si>
    <t>It says what is selected</t>
  </si>
  <si>
    <t>Nothing distinguished “the data block is selected” from “every cell is selected” once the selection ran past the bottom of the window.</t>
  </si>
  <si>
    <t>“Whole sheet”, “3 columns”, “24R × 5C”, beside the sum and average. A single cell shows nothing — the name box already gives its address.</t>
  </si>
  <si>
    <t>Requested, and the reason the cycle is safe to have: the next Delete, fill or format lands on whichever step you are on. Measured from the rectangle rather than by re-deriving the data region, which would scan the sheet on every render.</t>
  </si>
  <si>
    <t>lib/spreadsheet/selection.ts (selectionLabel); components/features/spreadsheet/SheetTabBar.tsx</t>
  </si>
  <si>
    <t>7d</t>
  </si>
  <si>
    <t>The Sheets article covers the cycle and the label</t>
  </si>
  <si>
    <t>Ctrl A was not mentioned.</t>
  </si>
  <si>
    <t>The three steps, the single-cell exception, what the bottom bar says and why, and the toolbar fix.</t>
  </si>
  <si>
    <t>5 September 2026</t>
  </si>
  <si>
    <t>1k</t>
  </si>
  <si>
    <t>Task chat ▸ Add submission</t>
  </si>
  <si>
    <t>The submission dialog is opaque</t>
  </si>
  <si>
    <t>The task page read straight through it. The dialog paints no surface of its own by design — the form inside brings its own panel — but that panel is 74% transparent and hides what is behind it with a backdrop blur, which holds over the page's own quiet ground and fails over a busy one. The form and the thread's cards were drawn over each other, both legible, neither readable.</t>
  </si>
  <si>
    <t>A solid panel colour, and a heavier scrim. Measured in a browser: a plain frosted panel computes rgba(32,32,37,0.74); inside the dialog it computes rgb(32,32,37).</t>
  </si>
  <si>
    <t>The original reasoning — that a modal needs no surface because its child has one — was wrong about WHICH surface. A translucent panel is a surface for the page it belongs to, not for an arbitrary one behind a portal. Done by overriding the colour token rather than laying an opaque div under the child: the property inherits, so there is no second element whose corners and border have to be kept in step with the panel's own.</t>
  </si>
  <si>
    <t>app/globals.css (--frost-panel-solid); components/features/tasks/TaskChatSubmission.tsx (+ submitDialog test)</t>
  </si>
  <si>
    <t>3c</t>
  </si>
  <si>
    <t>The change log itself</t>
  </si>
  <si>
    <t>It stops deleting the other chat's tabs</t>
  </si>
  <si>
    <t>Two Claude sessions write this one workbook, and each rebuilt the WHOLE file from its own list — so every save deleted the other's tabs and whoever saved last won. The other session's rows were destroyed this way at 10:04 this morning. Nothing warned anybody; the file simply came back smaller.</t>
  </si>
  <si>
    <t>This script rebuilds only the tabs it owns — Start here, Changes, Open items, Tests — and carries every other tab across untouched. Tested by planting a foreign tab, rebuilding, and checking it survived with its rows intact.</t>
  </si>
  <si>
    <t>Owner's decision: a tab each rather than one merged list, because the two number independently and 2a means different work in each chat. Renumbering would have broken refs already quoted in both conversations.</t>
  </si>
  <si>
    <t>the change-log generator (scratchpad)</t>
  </si>
  <si>
    <t>3d</t>
  </si>
  <si>
    <t>A date line divides each day's work</t>
  </si>
  <si>
    <t>Every row ran together in one list, so there was no way to see what had been done today as against yesterday.</t>
  </si>
  <si>
    <t>Rows sit under a line naming the day they were worked on. An entry keeps its ref, so a sub-change done today still shows which change it belongs to.</t>
  </si>
  <si>
    <t>Requested. It also caught three entries carrying the wrong date: the session ran past midnight and the timestamp helper hardcoded the 4th, so 6e and the two rows above were logged a day early.</t>
  </si>
  <si>
    <t>6e</t>
  </si>
  <si>
    <t>The row grows to fit the wrapped text — for real this time</t>
  </si>
  <si>
    <t>Two things still stopped it. A height already stored on the row always won, and a file brings a height for EVERY row — so on any imported workbook auto-fit was locked out everywhere and the wrapped text was clipped by a row that would not grow. And the measurement assumed system-ui while the grid renders Geist, 2.4% wider; under greedy wrapping that compounds, so a paragraph predicted at 8 lines rendered as 10 and the row was built for 8.</t>
  </si>
  <si>
    <t>The row takes whichever is taller, the stored height or what the text needs. The measurement reads the page's own font family instead of assuming one. Verified in a browser: 10 lines, every line inside the column, scrollHeight equal to the row height — nothing clipped.</t>
  </si>
  <si>
    <t>A stored height is a floor, not a ceiling: a row made deliberately roomy keeps its room, and one sized for unwrapped text still grows. Giving up the ability to make a wrapped row SHORTER than its text is not a loss — that is a row hiding its own contents, and turning wrapping off is how to ask for it.</t>
  </si>
  <si>
    <t>lib/spreadsheet/wrapHeight.ts (mergeRowHeights, + tests); components/features/spreadsheet/autoWrapHeights.ts; SpreadsheetGrid.tsx</t>
  </si>
  <si>
    <t>7e</t>
  </si>
  <si>
    <t>A sheet ▸ all of its chrome</t>
  </si>
  <si>
    <t>The rest of the toolbar stopped being selectable</t>
  </si>
  <si>
    <t>7a covered the ribbon and nothing else, so a drag still highlighted the back link, the title, ‘Live editing off’, the Saved chip, the name box row, the tab bar — and the font, size and number-format menus, which a `&lt;select&gt;` keeps because the browser's own stylesheet gives form controls user-select: auto and that beats an inherited none.</t>
  </si>
  <si>
    <t>One rule at the root of the sheet covers every part of it, with a second naming `select` explicitly. A range drawn over the whole chrome now returns zero characters. Fields you type in — the title, the name box, the formula bar, the cell editor — stay selectable, because user-select: none on a text input also kills double-click-to-select-a-word.</t>
  </si>
  <si>
    <t>Reported twice. The first pass fixed the place the screenshot pointed at rather than the class of problem, which is why it came back. Verified in a browser this time, not reasoned about.</t>
  </si>
  <si>
    <t>app/globals.css; components/features/spreadsheet/Spreadsheet.tsx (+ chromeSelection test)</t>
  </si>
  <si>
    <t>8</t>
  </si>
  <si>
    <t>The Overview dashboard</t>
  </si>
  <si>
    <t>Requested: the Needs you panel should reach the bottom of the page rather than stopping short of the left-hand column.</t>
  </si>
  <si>
    <t>8a</t>
  </si>
  <si>
    <t>Overview ▸ Needs you</t>
  </si>
  <si>
    <t>The panel fills its column</t>
  </si>
  <si>
    <t>It packed to its rows, so the right-hand column stopped well above the left one and the page ended on a ragged edge.</t>
  </si>
  <si>
    <t>It holds the rest of the column, so the two regions end on one line. Measured before and after in a browser: the card went from ending at 301px to filling its wrapper exactly at 471px.</t>
  </si>
  <si>
    <t>**This reverses a documented decision, and a test that guarded it.** The card was deliberately shortened because the list is capped at six rows, and empty card below its own content was judged to read as a loading failure. The counter-argument that won: a right column stopping short reads as unfinished at EVERY window size and does so all the time, whereas the empty band only shows when there are few signals. If it becomes a nuisance the fix is to let the list use the extra height — raise the cap and scroll — rather than to shorten the card again.</t>
  </si>
  <si>
    <t>components/features/dashboard/Home.tsx; AttentionCard.tsx; signals.test.ts (guard reversed, with the decision recorded in it)</t>
  </si>
  <si>
    <t>9</t>
  </si>
  <si>
    <t>The brief card in a task chat</t>
  </si>
  <si>
    <t>Requested: move Open the task to the top right of the card and make it the product's white button.</t>
  </si>
  <si>
    <t>9a</t>
  </si>
  <si>
    <t>Task chat ▸ the brief card, expanded</t>
  </si>
  <si>
    <t>Open the task moved to the top right, as the primary button</t>
  </si>
  <si>
    <t>A quiet grey text link at the FOOT of the panel, under the deliverables — so on a task with a long brief it sat below the fold of the card, and the only control in there was the last thing anybody found.</t>
  </si>
  <si>
    <t>A white pill on the first line, beside the brief, where the eye already is. It does not move when the brief grows.</t>
  </si>
  <si>
    <t>'Our white button' is `bg-ink` on `--body-bg` ink — so it reads white on dark and dark on light without either colour being written into this card. Sized to the card's 11px type rather than the standard 13px: a full-height button in a panel of small print reads as something pasted in. Verified in a browser — the pill sits 10px from the panel's top and 12px from its right, on rgb(241,241,243) with dark ink and a full radius.</t>
  </si>
  <si>
    <t>components/features/messages/TaskChatBrief.tsx</t>
  </si>
  <si>
    <t>10</t>
  </si>
  <si>
    <t>Whose tasks — the person dropdown</t>
  </si>
  <si>
    <t>Requested: put the drop-down arrows on the right of each row, and open the sub-branch to the right instead of underneath the same row.</t>
  </si>
  <si>
    <t>10a</t>
  </si>
  <si>
    <t>Tasks ▸ toolbar ▸ the person dropdown (chief level only — it is a flat list lower down)</t>
  </si>
  <si>
    <t>A team opens as its own column to the right, and its arrow moved to the right of the row</t>
  </si>
  <si>
    <t>An indented accordion. The arrow sat on the LEFT of each name, and pressing it pushed that team in underneath, shoving every row below it down the list — so opening a branch to look at it moved the rows you had been reading out from under the pointer, and two branches open at different depths left you counting 14px of indent to work out who reported to whom.</t>
  </si>
  <si>
    <t>The arrow sits at the right-hand end of the row, on the side the team appears on. Pressing it opens that team as its own panel beside the current one; the rows already on screen do not move. The chain of panels IS the reporting line, read left to right. Pressing an open arrow again closes that panel and everything to the right of it, and Escape steps back one panel at a time before closing the menu.</t>
  </si>
  <si>
    <t>The state changed with the shape: a PATH of open managers rather than a set of expanded ids, because a set would let two managers at the same depth both claim the panel beside them. The panels are SIBLINGS in one strip rather than children of the panel that opened them — each panel scrolls its own overflow, so a panel rendered inside its parent would be cut off the moment that parent was long enough to need a scrollbar. Verified in a browser at 768px, where the third panel ran off the right of the screen: the strip now measures its own left edge and fits itself to what is left of the window, and scrolls the newest panel into view. Also removed a setState-in-effect that predates this change — opening onto the current selection is now done in the button's own handler, which is one render instead of two.</t>
  </si>
  <si>
    <t>components/features/tasks/PersonFilter.tsx; personFilterWiring.test.ts (5 new checks); lib/help/knowledge.ts (“What does All members mean?”)</t>
  </si>
  <si>
    <t>10b</t>
  </si>
  <si>
    <t>Tasks ▸ the person dropdown ▸ All members</t>
  </si>
  <si>
    <t>All members is the same width as the names under it</t>
  </si>
  <si>
    <t>It ran the full width of the panel while every name below it stopped 26px short — the names sit beside a reserved slot for the branch arrow and this row did not. So its highlight overhung theirs, and its count stood in a column of its own, 26px right of every other figure.</t>
  </si>
  <si>
    <t>The same row frame as a name, arrow slot included. Measured in a browser: all four rows now 205px wide, ending at x=249, with every count’s right edge at x=239.</t>
  </si>
  <si>
    <t>Nobody manages the whole company, so there is no arrow to put in that slot — but the slot is what makes the widths derive from one number instead of two. The same reason a leaf reserves it: a column whose rows are different lengths stops reading as a column. Pinned by a test that counts the spacers, so a third row added later cannot quietly go full-width.</t>
  </si>
  <si>
    <t>components/features/tasks/PersonFilter.tsx; personFilterWiring.test.ts</t>
  </si>
  <si>
    <t>10c</t>
  </si>
  <si>
    <t>Tasks ▸ the person dropdown ▸ every row</t>
  </si>
  <si>
    <t>Rows fill the panel, and the arrow sits on top of them</t>
  </si>
  <si>
    <t>10b lined the counts up by giving every row a 24px spacer beside the name — which fixed the counts and broke the rows. A spacer is an ELEMENT: it takes width from the row, so every highlight stopped 27px short of the panel's right edge while starting 1px from its left. Measured: rows 45..249 inside a panel whose inner edges are 44 and 276. A lopsided highlight is what the eye reads as a wrong width, which is what the owner was pointing at both times.</t>
  </si>
  <si>
    <t>One shared row frame, `w-full` with `pr-9`. The reserved space moved out of a spacer element and into the row's own padding, so it still holds the counts in one column but no longer shortens anything. The arrow is absolutely positioned ON that padding. Measured after: every row 45..275 against inner edges of 44 and 276 — 1px each side — and every count's right edge at 239, in both panels.</t>
  </si>
  <si>
    <t>Third attempt, and the first two failed the same way: I fixed the property that was named and broke the one beside it. Padding rather than a spacer is what lets both hold at once — the row keeps its full width AND the counts keep their column, from one number instead of two. The arrow stays a SIBLING of the name button, absolutely placed, because a button inside a button is invalid HTML that browsers flatten. The hover moved onto a wrapping `group` at the same time: with the arrow sitting on the row, a bare hover on the name would have dropped the highlight the moment the pointer crossed onto the arrow. Measured over the arrow — row rgba(255,255,255,0.08), arrow rgba(255,255,255,0.18).</t>
  </si>
  <si>
    <t>components/features/tasks/PersonFilter.tsx; personFilterWiring.test.ts (4 checks replacing the spacer ones)</t>
  </si>
  <si>
    <t>10d</t>
  </si>
  <si>
    <t>The row fill moved onto the wrapper, which is how the rest of the app does it</t>
  </si>
  <si>
    <t>10c reached a full-width row by making the name button `w-full pr-9` and hanging the arrow off it absolutely. The geometry was right, but the mechanism was borrowed from this codebase’s INPUT idiom — PasswordInput.tsx and the three form fields that copy it — and every one of those is an `&lt;input&gt;`, a surface that has to own its own background and therefore cannot hand it to a parent. No list row in the repo does it. It also coupled three numbers by hand (`pr-9`, `right-1`, `h-6 w-6`) with nothing to catch a drift between them, and it gave the row NO focus state at all: tabbing through the menu lit nothing, because `group-hover:` only covers a pointer.</t>
  </si>
  <si>
    <t>The wash, the radius and the side padding sit on the non-pressable wrapper; the name button and the arrow are ordinary flex siblings inside it; a leaf reserves the arrow’s box with a spacer again. Identical geometry — rows 45..275 against inner edges of 44 and 276, counts at 239 — with no absolute positioning and no magic numbers, since the arrow’s own box IS the reservation. `focus-within` on the wrapper and `focus-visible` on the arrow give the menu a keyboard state it did not have.</t>
  </si>
  <si>
    <t>The spacer was never the problem. The wash being on the BUTTON was — that is what let a 24px sibling take width off the highlighted surface, and it is the thing all three earlier attempts missed while arguing about the spacer. Found by fanning four readers across every menu, tree and trailing control in the app rather than guessing a fourth time: the rule is written down at TaskTable.tsx:1358 (padding moved off the row into the cells “so the hover wash still reaches the panel’s edges”), four files spend a negative margin to buy it back, and roughly twenty rows already put the fill on a wrapper — MindMapOutline.tsx’s tree row being the closest twin. `group-hover:` driving a row’s own fill existed in exactly one file in the repo: this one.</t>
  </si>
  <si>
    <t>components/features/tasks/PersonFilter.tsx; personFilterWiring.test.ts (4 checks rewritten)</t>
  </si>
  <si>
    <t>What is open</t>
  </si>
  <si>
    <t>What it means for you</t>
  </si>
  <si>
    <t>What I need</t>
  </si>
  <si>
    <t>The exact colour</t>
  </si>
  <si>
    <t>#1a1b21 is my reading of the swatch you attached — I cannot sample an image, so it is an eyeball match. Everything else about the change is settled.</t>
  </si>
  <si>
    <t>Confirm it, or give me the hex. It is a one-line change either way.</t>
  </si>
  <si>
    <t>1, 2</t>
  </si>
  <si>
    <t>Nothing has been seen running</t>
  </si>
  <si>
    <t>The app needs a sign-in I will not do, and port 3000 is held by the dev server for the OTHER clone (E:), not this one. Code, tests and the production compile all pass; no human has looked at the screen.</t>
  </si>
  <si>
    <t>Someone signed in should open a DM with somebody they share a task with and look at the Task chat tab.</t>
  </si>
  <si>
    <t>The build was already broken</t>
  </si>
  <si>
    <t>lib/repositories/legacy/index.ts uses MessageCard and MessageSearchHit as types without importing them — 4 errors, present at HEAD before any of this work. Next itself compiles; only the typecheck after it fails. 'npm run dev' is unaffected.</t>
  </si>
  <si>
    <t>Say whether to fix it. It is two names added to an existing import, but it is unrelated to the work above.</t>
  </si>
  <si>
    <t>The deadline line is still centred</t>
  </si>
  <si>
    <t>'Deadline moved to 16:46 (was 11:37)' goes through a different card. It reads as a consequence of chaining rather than one person answering another, so I left it in the middle.</t>
  </si>
  <si>
    <t>Say if you want it sided too.</t>
  </si>
  <si>
    <t>The forwarding fix came along</t>
  </si>
  <si>
    <t>It was part of the same change in the reference clone, and this clone still had the old behaviour. It is a real fix, but it is not task chat.</t>
  </si>
  <si>
    <t>Confirm you want it kept, or I take it out.</t>
  </si>
  <si>
    <t>The running backend has not loaded the route</t>
  </si>
  <si>
    <t>The new router is on disk and verified — booted on a spare port, /cowork/workbooks answers 401 like every other cowork route instead of 404. But the dev server on :5000 was not listening while this was done, so the instance you use has never loaded it. Sheets will keep failing until it restarts.</t>
  </si>
  <si>
    <t>Restart the backend (npm run dev in grav-cms-backend), then reload Sheets.</t>
  </si>
  <si>
    <t>No sheet has been created end to end</t>
  </si>
  <si>
    <t>Nothing has been written to Firestore by the new route: no workbook created, saved, shared or restored through a browser. The route is verified as present and authenticated, not as correct in use.</t>
  </si>
  <si>
    <t>Make a sheet, type in it, reload, then share it with somebody and check they see it.</t>
  </si>
  <si>
    <t>4b, 4c</t>
  </si>
  <si>
    <t>It is outside that repo's active task</t>
  </si>
  <si>
    <t>grav-cms-backend's CLAUDE.md says to implement only docs/tasks/current-task.md, which is Store &amp; Purchase Chunk 1. This is an unrelated router, added at your request. No Store/Purchase file was touched, and the handoff doc says so at the top.</t>
  </si>
  <si>
    <t>Nothing, unless your process needs the task file updated too.</t>
  </si>
  <si>
    <t>This change log was damaged, and is restored</t>
  </si>
  <si>
    <t>Opening it in Cowork with the link on stripped its column widths, merged cells, fills, row heights and the stored results of its formulas — the file on disk was replaced by Cowork's own export at 19:58. The text and every row survived. It has been regenerated from the script, so it is whole again.</t>
  </si>
  <si>
    <t>Close it in Cowork, or use Stop saving to the file, BEFORE editing it again — otherwise the next save strips it a second time. From now on Cowork asks first.</t>
  </si>
  <si>
    <t>Saving to a file needs Chrome or Edge</t>
  </si>
  <si>
    <t>Firefox and Safari have no way for a page to write back to a file you picked. There, a dropped file still opens — it is just not kept in step, and the message says so. Everything else about sheets is unaffected.</t>
  </si>
  <si>
    <t>Nothing, unless somebody works in Firefox or Safari. Tell me if they do and I will look at what is possible there.</t>
  </si>
  <si>
    <t>Nothing has been driven in a browser</t>
  </si>
  <si>
    <t>The whole of change 5 is browser behaviour — drops, file pickers, permission prompts — and none of it has been exercised: the app needs a sign-in I will not do. Types, lint and 6,370 tests pass; no file has been opened or written.</t>
  </si>
  <si>
    <t>Drop an .xlsx on a sheet, type in it, then open that file from Explorer and check the change is there.</t>
  </si>
  <si>
    <t>Editing the same file in Excel is not handled</t>
  </si>
  <si>
    <t>Cowork writes what is on screen, so if the file is also open in Excel, whichever saves last wins. The help article says so; the product does not detect it.</t>
  </si>
  <si>
    <t>Decide whether that needs detecting. It is doable — compare the file's timestamp before each write — but it was not asked for.</t>
  </si>
  <si>
    <t>1, 2, 3, 4, 5</t>
  </si>
  <si>
    <t>None of it is committed</t>
  </si>
  <si>
    <t>The Cowork side sits in the working tree on COWORK_QC_FRONTEND: 13 new files, 16 modified. The backend side is 1 new file and 2 modified in grav-cms-backend, also uncommitted.</t>
  </si>
  <si>
    <t>Tell me when you want it committed, and on what branches — they are two repos.</t>
  </si>
  <si>
    <t>Tests that need a person — a browser, a permission prompt and a real file. The test file is on the Desktop: sheet-watch-test.xlsx</t>
  </si>
  <si>
    <t>Covers</t>
  </si>
  <si>
    <t>What it tests</t>
  </si>
  <si>
    <t>How to run it</t>
  </si>
  <si>
    <t>What should happen</t>
  </si>
  <si>
    <t>Result</t>
  </si>
  <si>
    <t>T1</t>
  </si>
  <si>
    <t>5a, 5b</t>
  </si>
  <si>
    <t>A dropped file opens, and Cowork writes back to it</t>
  </si>
  <si>
    <t>On the Sheets list press Open file ▸ Open from this computer and choose sheet-watch-test.xlsx from the Desktop. Allow the permission prompt. Type something in an empty cell, wait about two seconds, then open the same file from Explorer.</t>
  </si>
  <si>
    <t>The sheet opens showing the file's contents and takes its name. A second chip appears beside Saved, naming the file. What you typed is in the file when you open it from Explorer.</t>
  </si>
  <si>
    <t/>
  </si>
  <si>
    <t>T2</t>
  </si>
  <si>
    <t>A change made OUTSIDE Cowork appears in the sheet</t>
  </si>
  <si>
    <t>With that file still open and bound, leave it alone — do not type. Claude rewrites the file every 15 seconds from outside Cowork. Watch rows 3 and 4.</t>
  </si>
  <si>
    <t>Within about ten seconds of each outside change, Edit number and Last changed at update themselves in Cowork. No prompt, no button — the sheet had nothing unsaved, so it is simply taken.</t>
  </si>
  <si>
    <t>T3</t>
  </si>
  <si>
    <t>An outside change does NOT silently destroy your edits</t>
  </si>
  <si>
    <t>While the writer is still running, type something in the sheet and leave it a moment, then wait for the next outside change.</t>
  </si>
  <si>
    <t>The chip reads “File changed on disk” with a Reload beside it, and your typing is untouched until you press it. Pressing Reload takes the file's version and discards yours — which is why it asks.</t>
  </si>
  <si>
    <t>T4</t>
  </si>
  <si>
    <t>The link survives a reload of the page</t>
  </si>
  <si>
    <t>With a file bound, refresh the browser tab and open the same sheet.</t>
  </si>
  <si>
    <t>The browser asks for permission again (it lapses on close) and the chip offers Reconnect. This is the browser's rule, not a defect — a permission prompt only opens for a real click.</t>
  </si>
  <si>
    <t>T5</t>
  </si>
  <si>
    <t>Keep a copy in Cowork does not break the file link</t>
  </si>
  <si>
    <t>On a file-bound sheet, choose File ▸ Keep a copy in Cowork. Then type something.</t>
  </si>
  <si>
    <t>The sheet appears in the Sheets list. Both chips stay: the typing lands in Cowork AND in the file on disk. The copy is an addition, not a move.</t>
  </si>
  <si>
    <t>T6</t>
  </si>
  <si>
    <t>Wrap text grows the row</t>
  </si>
  <si>
    <t>In any sheet, type a sentence long enough to overflow a column into one cell. Turn Wrap text on from the Home tab. Then widen the column, and separately drag that row's border to a height of your own.</t>
  </si>
  <si>
    <t>The row grows so every line is visible, with nothing clipped at the bottom. Widening the column re-flows it and the row shrinks back. Dragging the row TALLER keeps your height; dragging it shorter than the text will not stick, because a wrapped row is never left hiding its own contents.</t>
  </si>
  <si>
    <t>T7</t>
  </si>
  <si>
    <t>7a, 7b, 7c</t>
  </si>
  <si>
    <t>Selecting behaves</t>
  </si>
  <si>
    <t>Drag the mouse across the ribbon. Then click a cell inside a block of data and press Ctrl A three times, watching the bar along the bottom right. Then select a few columns by their headers.</t>
  </si>
  <si>
    <t>The ribbon's labels never highlight. Ctrl A goes block → whole sheet → block, and the bottom bar reads the size, then “Whole sheet”, then the size again. Column headers give “3 columns” rather than a row count.</t>
  </si>
  <si>
    <t>T8</t>
  </si>
  <si>
    <t>5f, 5g</t>
  </si>
  <si>
    <t>Opening a file does what it says, and a drop never overwrites</t>
  </si>
  <si>
    <t>Open a sheet and type something into it. Drag any .xlsx onto it. Read the dialog, press Save and open. Then go back to All sheets and try Open file ▸ Upload a copy with the same file.</t>
  </si>
  <si>
    <t>The drop asks before doing anything, naming the file. Saying yes opens it as a NEW sheet and what you typed is still in the sheet you left. Upload a copy opens it with no file chip — edits stay in Cowork and the file on disk never changes.</t>
  </si>
  <si>
    <t>This conversation was forked, so its changes are kept apart from the main branch's rather than interleaved into a record it no longer shares.</t>
  </si>
  <si>
    <t>A second Changes tab, for this fork</t>
  </si>
  <si>
    <t>One Changes tab. Work done in a fork would have been written into the main branch's record, where it would read as though it had happened on that branch.</t>
  </si>
  <si>
    <t>This tab. Same eleven columns in the same order as the main one, so the two stack when they are merged. The other three tabs are left untouched.</t>
  </si>
  <si>
    <t>Requested. Also the only safe shape: the branches diverge, and a single tab would have to be unpicked later rather than merged.</t>
  </si>
  <si>
    <t>Cowork changes 4 Sep 2026.xlsx (Changes (fork) tab added)</t>
  </si>
  <si>
    <t>The Tasks toolbar — whose work you are looking at</t>
  </si>
  <si>
    <t>Reported: the Task-wise / Person-wise switch was pointless, because choosing Person-wise only revealed a dropdown. So the switch went and the dropdown stayed — then two follow-ups on where it should appear.</t>
  </si>
  <si>
    <t>Tasks ▸ toolbar</t>
  </si>
  <si>
    <t>The Task-wise / Person-wise switch is gone; the dropdown is always there</t>
  </si>
  <si>
    <t>Two chips, Task-wise and Person-wise. Choosing Person-wise did exactly one thing: it revealed a person dropdown beside it. A mode existed to uncover a control, and you had to know that before you could reach what you wanted.</t>
  </si>
  <si>
    <t>No switch. The dropdown sits in the toolbar resting on All members — the whole list. Choose somebody and the table shows their tasks as their own numbered queue; choose All members to go back.</t>
  </si>
  <si>
    <t>A control whose only effect is to reveal another control is a step that exists to be dismissed. Removing it also removes a mode the reader had to remember they were in.</t>
  </si>
  <si>
    <t>components/features/tasks/PersonFilter.tsx (new); TaskTable.tsx</t>
  </si>
  <si>
    <t>Tasks ▸ the person dropdown</t>
  </si>
  <si>
    <t>What it offers depends on who is asking</t>
  </si>
  <si>
    <t>One shape for everybody: whoever happened to have a task in the current list, flat and alphabetical. No structure, and no way to reach somebody two levels down.</t>
  </si>
  <si>
    <t>An ordinary employee gets no dropdown at all, unless they have raised work for other people — then it lists those people. A team lead gets their direct reports, flat. Chief level gets a TREE: an arrow beside each lead opens their team underneath, so the CEO can walk down the organisation and audit anybody.</t>
  </si>
  <si>
    <t>Requested. The arrow only opens a branch — it is the NAME that selects — so browsing the structure never disturbs what the table is showing. Everybody visible is listed, including anyone carrying nothing, because 'nobody has given this person anything' is the finding an audit is for.</t>
  </si>
  <si>
    <t>lib/rules/tasks/peopleFilter.ts (new, 15 tests); TaskTable.tsx</t>
  </si>
  <si>
    <t>Tasks ▸ the search box</t>
  </si>
  <si>
    <t>Searches tasks only</t>
  </si>
  <si>
    <t>"Search tasks or people" — it matched task titles AND people's names, so the toolbar asked 'whose work' in two places.</t>
  </si>
  <si>
    <t>"Search tasks". Title (and reference, on the mock backend) only. Both repositories changed together.</t>
  </si>
  <si>
    <t>Requested. The typed one was the worse of the two ways: it answered with a flat list rather than a person's queue, matched anybody whose name merely contained the letters, and could not tell you somebody had nothing.</t>
  </si>
  <si>
    <t>lib/repositories/legacy/index.ts; lib/repositories/mock/index.ts; TaskTable.tsx</t>
  </si>
  <si>
    <t>Tasks ▸ the table</t>
  </si>
  <si>
    <t>Somebody carrying nothing is named, not shown as a blank grid</t>
  </si>
  <si>
    <t>Person-wise with nobody to show pointed you back at Task-wise. Picking a person who had no tasks was not reachable at all, since the old list only offered people who had some.</t>
  </si>
  <si>
    <t>"Nothing for {name} here", with a button back to All members. A selection the tree stops offering falls back to All members rather than to whoever is first.</t>
  </si>
  <si>
    <t>An empty queue is an answer, not an error. Falling back to a different person's queue would silently show work that is not the work you asked for.</t>
  </si>
  <si>
    <t>components/features/tasks/TaskTable.tsx</t>
  </si>
  <si>
    <t>2e</t>
  </si>
  <si>
    <t>The Finding tasks article rewritten</t>
  </si>
  <si>
    <t>It described the search box as matching people, and explained the Task-wise / Person-wise chips at length — behaviour that no longer exists.</t>
  </si>
  <si>
    <t>The dropdown, what it offers each kind of reader, the tree and its arrows, All members, and the zero counts. Keywords for the old names kept, so somebody asking 'what happened to Person-wise' still lands on it.</t>
  </si>
  <si>
    <t>Project rule: user-facing behaviour ships with its help update in the same piece of work. An article describing a removed control is worse than a missing one.</t>
  </si>
  <si>
    <t>lib/help/knowledge.ts; lib/rules/tasks/peopleRollup.ts (stale doc)</t>
  </si>
  <si>
    <t>2f</t>
  </si>
  <si>
    <t>Tasks ▸ toolbar, on My tasks</t>
  </si>
  <si>
    <t>No dropdown on My tasks</t>
  </si>
  <si>
    <t>It appeared on every scope, My tasks included — where the only person it could offer was you.</t>
  </si>
  <si>
    <t>Absent on My tasks. It appears on My team and the other scopes that gather more than one person's work.</t>
  </si>
  <si>
    <t>Requested. That scope IS one person's queue, so a control asking whose tasks to show has a single answer. Switching to My tasks also clears any person already chosen — otherwise the list stays narrowed while the control that narrowed it is off screen, with no visible cause and no way back.</t>
  </si>
  <si>
    <t>2g</t>
  </si>
  <si>
    <t>Tasks ▸ the scope switch</t>
  </si>
  <si>
    <t>The page opens on My team</t>
  </si>
  <si>
    <t>It opened on My tasks for everybody, so a manager pressed My team every single visit.</t>
  </si>
  <si>
    <t>My team for anybody who has one; My tasks for anybody who does not. Whatever you pick after that is kept.</t>
  </si>
  <si>
    <t>Requested. Derived rather than stored: the permission read that says whether you have a team lands after the first render, so writing the default into state would either flash the wrong tab or need an effect racing the reader's own first click.</t>
  </si>
  <si>
    <t>components/features/tasks/TasksArea.tsx</t>
  </si>
  <si>
    <t>2h</t>
  </si>
  <si>
    <t>Both rules written into the help</t>
  </si>
  <si>
    <t>The articles said the dropdown was simply present, and said nothing about which scope the page opens on.</t>
  </si>
  <si>
    <t>"Which tasks you can see" now opens by saying the page starts on My team if you have one. "Finding tasks" says the dropdown is absent on My tasks, and why.</t>
  </si>
  <si>
    <t>Same project rule as 2e — and these two are exactly the kind of change nothing mechanical catches, because the vocabulary did not move.</t>
  </si>
  <si>
    <t>The task chat tab in a direct message</t>
  </si>
  <si>
    <t>Reported: the tab spent its label saying what kind of thread it was, and the one question a reader arrives with — what does this task actually ask for — needed a trip to the task page and back.</t>
  </si>
  <si>
    <t>Messages ▸ the task chat tab</t>
  </si>
  <si>
    <t>The tab shows the priority and the subject</t>
  </si>
  <si>
    <t>It read "Task chat". Which task it meant was on a separate row underneath, printing the rank and title a second time.</t>
  </si>
  <si>
    <t>The tab reads the task itself — "P1 · Redesign the deck" — built by the same function the picker rows use, so a tab and its menu row can never disagree. The row underneath is freed for the brief.</t>
  </si>
  <si>
    <t>Requested. What kind of thread it is you learn once; which task it is you need every time. The accessible name still leads with "Task chat", because out of context a rank and a title do not say it is a conversation.</t>
  </si>
  <si>
    <t>components/features/messages/MessagesArea.tsx; lib/rules/messages/taskChats.ts</t>
  </si>
  <si>
    <t>Messages ▸ under the task chat tab</t>
  </si>
  <si>
    <t>The brief and the deliverables, behind a disclosure</t>
  </si>
  <si>
    <t>Neither was reachable from the thread. To find out what had been asked for you left the conversation for the task page and came back.</t>
  </si>
  <si>
    <t>One line at rest — "Brief · 3 deliverables", and whether the task is yours or one you assigned — opening to the brief in the raiser's own words and the deliverables numbered in the task's own order. No brief, and none listed, each say so rather than showing a blank.</t>
  </si>
  <si>
    <t>Requested. Closed by default because a brief can run paragraphs and open-by-default would push the newest message off a short pane to show text that never changes. It carries no controls: a half-version of an approval chain in a narrow column would invite somebody to act on it.</t>
  </si>
  <si>
    <t>components/features/messages/TaskChatBrief.tsx (new); lib/rules/messages/taskChats.ts (5 tests)</t>
  </si>
  <si>
    <t>The task-discussion article updated again</t>
  </si>
  <si>
    <t>It said the second tab was labelled "Task chat", and said nothing about a brief.</t>
  </si>
  <si>
    <t>The tab's real label, the brief and its closed-at-rest line, the deliverables, and what the panel deliberately leaves out.</t>
  </si>
  <si>
    <t>Project rule, as 2e and 2h. Also caught a real defect on the way: the first draft put unescaped quotes inside the article string and broke every help test until they were escaped.</t>
  </si>
  <si>
    <t>Submitted work reaching its reviewer's inbox</t>
  </si>
  <si>
    <t>Reported: Actionable showed no row, and no way through to the review, when somebody submitted a task. A real defect rather than a missing feature — the help has promised this behaviour all along.</t>
  </si>
  <si>
    <t>Tasks ▸ Actionable</t>
  </si>
  <si>
    <t>The inbox reads the submission before deciding</t>
  </si>
  <si>
    <t>Nothing appeared. `actionableFor`'s review branch is gated on `view.latestSubmission`, and the legacy mapper hardcodes that to null — so on real data the branch could never fire. Somebody submitted, the task moved to `in_review`, and the inbox stayed silent. It read as "only some reviews appear" because the per-OUTPUT branch beside it is gated on `openSubmissions`, which IS mapped.</t>
  </si>
  <si>
    <t>Each task awaiting a decision is hydrated from `listSubmissions` before `actionableFor` is asked, so the row appears with "Review submission" and a link to /tasks/{id}/review.</t>
  </si>
  <si>
    <t>Hydrated in the repository rather than the mapper because the field that matters — the review chain — is resolved by ROLE and needs directory reads a synchronous, pure mapper cannot make. Reading the same path the review screen reads is what stops the inbox offering a review that screen would refuse.</t>
  </si>
  <si>
    <t>lib/repositories/legacy/index.ts (#withLatestSubmission, 6 tests)</t>
  </si>
  <si>
    <t>The actionable rule</t>
  </si>
  <si>
    <t>An absent submission is declined, not dereferenced</t>
  </si>
  <si>
    <t>The gate was `view.latestSubmission !== null`. A narrowed view omits the field entirely, and `undefined !== null` passes — then the next line reads `.reviewChain` off nothing.</t>
  </si>
  <si>
    <t>`view.latestSubmission ?? null`, the same guard `openSubmissions` already carried two lines below.</t>
  </si>
  <si>
    <t>Absent means 'no submission is known', never a crash. Cheap, and it is the difference between one missing row and a thrown inbox.</t>
  </si>
  <si>
    <t>lib/rules/tasks/actionable.ts (3 tests)</t>
  </si>
  <si>
    <t>The mapper, and the help's source note</t>
  </si>
  <si>
    <t>Corrected a comment that said the opposite of the truth</t>
  </si>
  <si>
    <t>Beside `openSubmissions`, the mapper claimed "latestSubmission already carries it and the branch above already finds it". It does neither — the field is hardcoded null two hundred lines below. A documented assumption contradicting the code is how this survived.</t>
  </si>
  <si>
    <t>The mapper says plainly that it does not populate the field, why it cannot, who hydrates it, and which surfaces still read it and quietly show nothing.</t>
  </si>
  <si>
    <t>No help ARTICLE changed: "submitted work at your review stage" was already documented as appearing in Actionable, so the rule was right and the code was wrong. Its source field now records the defect and the fix.</t>
  </si>
  <si>
    <t>lib/repositories/legacy/taskMap.ts; lib/help/knowledge.ts</t>
  </si>
  <si>
    <t>4d</t>
  </si>
  <si>
    <t>Tasks ▸ Actionable ▸ a review row</t>
  </si>
  <si>
    <t>The row names the submitter</t>
  </si>
  <si>
    <t>It named `view.owner` — the task's CREATOR, which on almost every task awaiting review is the reviewer themselves. A queue of nine submissions listed the reader's own name nine times, and the one fact needed to triage it was nowhere.</t>
  </si>
  <si>
    <t>The person who actually submitted. Resolved off people already on the view, so it costs no directory read, and falls back to the old name rather than printing an id when it cannot be resolved.</t>
  </si>
  <si>
    <t>Reported. The mock backend already did this; only the legacy one did not — the same two-backends-disagree shape as the search predicate in 2c.</t>
  </si>
  <si>
    <t>lib/repositories/legacy/index.ts (#reviewSubject, #personOn)</t>
  </si>
  <si>
    <t>4e</t>
  </si>
  <si>
    <t>How late, or how early, the work arrived</t>
  </si>
  <si>
    <t>Nothing. A reviewer with nine submissions stacked up had no way to tell an hour over from three days over without opening each one.</t>
  </si>
  <si>
    <t>A chip beside the button: "3h late" in the overdue tone, "2d early" in the positive one, "on time" plain. Nothing at all where the task has no deadline.</t>
  </si>
  <si>
    <t>Requested. Measured from the timestamps rather than read from `wasLate`, which the legacy path hardcodes to false in all three places it is built — so every submission claimed to be on time. A structured field rather than more words in the subtitle, because late and early are not the same news and muted grey cannot say which.</t>
  </si>
  <si>
    <t>lib/rules/tasks/submissionTiming.ts (new, 9 tests); types.ts; both repositories; TasksArea.tsx</t>
  </si>
  <si>
    <t>4f</t>
  </si>
  <si>
    <t>The inbox article describes the review row</t>
  </si>
  <si>
    <t>It listed what appears in Actionable but said nothing about what a row shows.</t>
  </si>
  <si>
    <t>That the second line names the submitter and why, and that the chip beside it measures against the deadline — including that a task with no deadline shows nothing rather than claiming to be on time.</t>
  </si>
  <si>
    <t>Project rule. Unlike 4a-4c this genuinely is new user-facing behaviour rather than a defect against behaviour already documented.</t>
  </si>
  <si>
    <t>The attach control on a message composer</t>
  </si>
  <si>
    <t>Reported: the + and the paperclip beside it did the same thing. And in task chat the two kinds of attachment — a file for the conversation, and the work itself — should sit in one place, wired to the same submission flow the Submission tab uses.</t>
  </si>
  <si>
    <t>Every message composer</t>
  </si>
  <si>
    <t>One attach button, wearing the paperclip</t>
  </si>
  <si>
    <t>A + and a paperclip, a pixel apart. The paperclip opened the file picker — which is the first row of the menu the + opened. Two buttons, one a shortcut into the other, and no rule to tell them apart because there was not one.</t>
  </si>
  <si>
    <t>One button. It opens the same menu (Photos &amp; files, Poll, Location, Contact) and it wears the PAPERCLIP, not a +.</t>
  </si>
  <si>
    <t>Requested. Attaching is what the control is opened for; + says 'more' and made the common case the unlabelled one. Removed from the direct message composer and the task chat composer together, so the two cannot drift.</t>
  </si>
  <si>
    <t>components/features/messages/CardComposer.tsx; MessagesArea.tsx; ChatPanel.tsx</t>
  </si>
  <si>
    <t>Task chat ▸ the attach menu</t>
  </si>
  <si>
    <t>Both kinds of attachment in the one menu</t>
  </si>
  <si>
    <t>Task chat had a SECOND bespoke menu on its own paperclip, carrying 'Attach a file' and 'Add submission' — the same rows, for the same purpose, beside the shared one.</t>
  </si>
  <si>
    <t>The shared menu takes an optional submission row, supplied by the task chat. Photos &amp; files and Add submission sit together, each with a line saying which is which: one is sent with your message and reviewed by nobody, the other hands the work over and starts its review. Still the real SubmissionPanel behind it, so it submits exactly as the Submission tab does.</t>
  </si>
  <si>
    <t>Requested. The same PDF can be either and only the sender knows which, so it is asked rather than guessed — but that question needs one menu, not two. A named prop rather than a generic slot: a menu anybody can inject into is a menu nobody can reason about.</t>
  </si>
  <si>
    <t>components/features/messages/CardComposer.tsx; components/features/tasks/ChatPanel.tsx (116 lines removed)</t>
  </si>
  <si>
    <t>Tests and Help</t>
  </si>
  <si>
    <t>The pins and the articles follow the control</t>
  </si>
  <si>
    <t>Seven tests pinned the bespoke menu's markup and state, and four help passages described the + and the paperclip as separate things.</t>
  </si>
  <si>
    <t>The tests assert the shared control and the submission prop; the articles say there is one paperclip, what its sheet holds, and that task chat carries the extra row.</t>
  </si>
  <si>
    <t>Project rule. The tests failing was the correct outcome of removing the thing they described — they were rewritten, not deleted.</t>
  </si>
  <si>
    <t>components/features/tasks/chatSubmission.test.ts; lib/help/knowledge.ts</t>
  </si>
  <si>
    <t>Days in the change log</t>
  </si>
  <si>
    <t>Requested: keep one file, but separate each day's work with a date line.</t>
  </si>
  <si>
    <t>Changes (fork) tab</t>
  </si>
  <si>
    <t>A date line above each day's changes</t>
  </si>
  <si>
    <t>One unbroken run of rows. Everything so far happened on 4 September, so nothing said so — and the first change made on the 5th would have been indistinguishable from the ones above it.</t>
  </si>
  <si>
    <t>A full-width date line opens each day's block. Numbering runs straight through it, so a ref stays unique across the whole tab and the ones already quoted in chat still point at the same rows.</t>
  </si>
  <si>
    <t>Requested. Grouped by when a change was STARTED. A change revisited on a later day keeps its number and stays in its own day's block — its new lettered rows carry their own dates in the Started column, which is where that detail belongs.</t>
  </si>
  <si>
    <t>Cowork changes 4 Sep 2026.xlsx (Changes (fork) tab)</t>
  </si>
  <si>
    <t>The rebuild script</t>
  </si>
  <si>
    <t>Stopped writing to the Start here tab</t>
  </si>
  <si>
    <t>This script appended its own explainer to Start here. The other session owns and rebuilds that tab, so the block was wiped on their every save and re-added on mine — two writers fighting over one sheet.</t>
  </si>
  <si>
    <t>It touches Changes (fork) and nothing else. Their Start here already documents the split and why the two tabs number independently, so nothing is lost.</t>
  </si>
  <si>
    <t>They fixed their side to carry foreign tabs across rather than rebuild the whole workbook, and asked for the same here. Owning only our own tab is that fix.</t>
  </si>
  <si>
    <t>scratchpad/sheetgen/forktab.js</t>
  </si>
  <si>
    <t>Font size on the spreadsheet ribbon</t>
  </si>
  <si>
    <t>Reported: pressing A+ did not move the number in the box beside it — the two read as unconnected.</t>
  </si>
  <si>
    <t>Sheets ▸ Home ribbon ▸ Font</t>
  </si>
  <si>
    <t>A+ and A− step the size LADDER, not one point</t>
  </si>
  <si>
    <t>The picker offered 10, 11, 12, 13, 14, 16, 18, 24, 32 and the buttons stepped by ONE. Past 14 they disagreed: a press produced 15, which is not on the ladder, so the select had no option matching its own value and stopped showing the size. Press again and it landed on 16 and came back.</t>
  </si>
  <si>
    <t>A press moves one rung — 14 to 16, 16 to 18 — so the number always follows the button. Past the ends it still moves by a point rather than refusing, clamped to 6-96.</t>
  </si>
  <si>
    <t>Reported. The product's own document toolbar already stepped its ladder correctly, in a private helper the spreadsheet could not reach; that logic is now shared and tested rather than copied a third time.</t>
  </si>
  <si>
    <t>lib/spreadsheet/fontSizes.ts (new, 10 tests); HomeTab.tsx</t>
  </si>
  <si>
    <t>Both spreadsheet size pickers</t>
  </si>
  <si>
    <t>A size the ladder does not carry is still shown</t>
  </si>
  <si>
    <t>The list was a fixed nine values, duplicated in the ribbon and the toolbar. Anything else — a size from an opened .xlsx, or one reached before this fix — matched no option and the picker showed nothing.</t>
  </si>
  <si>
    <t>The applied size is added to the options when it is not a rung, and the ladder itself comes from one shared module so the two pickers cannot drift.</t>
  </si>
  <si>
    <t>A control that cannot display its own value is the same defect in a different costume — and opening real files, which the other session has just added, makes off-ladder sizes ordinary rather than rare.</t>
  </si>
  <si>
    <t>lib/spreadsheet/fontSizes.ts; HomeTab.tsx; SpreadsheetToolbar.tsx</t>
  </si>
  <si>
    <t>Putting a sheet down</t>
  </si>
  <si>
    <t>Three requests together: a dropped file should offer Don't save, the browser's back button should ask rather than closing silently, and the File menu should have a Close.</t>
  </si>
  <si>
    <t>Sheets ▸ closing an open sheet</t>
  </si>
  <si>
    <t>Closing asks when something is still unsaved</t>
  </si>
  <si>
    <t>The back arrow shut the sheet on the spot. A sheet autosaves so usually nothing was lost, but 'usually' is not something you can see — and the two unsafe cases, a save still on the wire and a save that FAILED, looked exactly like the safe one.</t>
  </si>
  <si>
    <t>Closing checks both stores and, when either is behind, names which and offers Save / Don't save / Cancel. A clean sheet still closes on the spot; stopping somebody to say nothing was lost is the dialog people learn to dismiss.</t>
  </si>
  <si>
    <t>Requested. Both stores, because a sheet safely in Cowork whose write back to the file on the computer was refused has still lost the copy the person was watching. Save reads 'Try saving again' where the last attempt failed, rather than pretending a retry is a certainty.</t>
  </si>
  <si>
    <t>lib/rules/sheets/leaveGuard.ts (new, 12 tests); Spreadsheet.tsx</t>
  </si>
  <si>
    <t>8b</t>
  </si>
  <si>
    <t>Sheets ▸ the browser's back button</t>
  </si>
  <si>
    <t>Back closes the sheet, and asks first</t>
  </si>
  <si>
    <t>The open sheet is a full-screen layer held in the list's state, not a route — so back left the whole Sheets page, taking the sheet with it and saying nothing about whether the work was stored. `beforeunload` does not fire on a client-side navigation, so nothing caught it.</t>
  </si>
  <si>
    <t>Opening a sheet pushes one history entry and back pops it, so the gesture means 'close this sheet' and goes through the same guard as every other exit.</t>
  </si>
  <si>
    <t>Requested. Cancelling pushes the step BACK — without that the reader spends their one back press to stay where they were, and the next one leaves the page for real.</t>
  </si>
  <si>
    <t>components/features/spreadsheet/Spreadsheet.tsx</t>
  </si>
  <si>
    <t>8c</t>
  </si>
  <si>
    <t>Sheets ▸ File menu</t>
  </si>
  <si>
    <t>A Close item</t>
  </si>
  <si>
    <t>The only way out was the back arrow in the corner. A File menu offering New sheet, Open, Save and Share with no way to put the file down is missing half its own vocabulary.</t>
  </si>
  <si>
    <t>Close, at the foot of the menu under a divider, running the same guarded action as the back arrow. Absent where there is no list to return to.</t>
  </si>
  <si>
    <t>Requested. Last and separated because it is the one item that ends the session with this sheet — a mis-click a pixel below Share should not cost somebody their place.</t>
  </si>
  <si>
    <t>FileMenu.tsx; Ribbon.tsx; Spreadsheet.tsx</t>
  </si>
  <si>
    <t>8d</t>
  </si>
  <si>
    <t>Sheets ▸ dropping a file on an open sheet</t>
  </si>
  <si>
    <t>The drop question gained Don't save</t>
  </si>
  <si>
    <t>Cancel and 'Save and open'. Somebody who did not want to wait for a slow or stuck save had to cancel and lose the drop entirely.</t>
  </si>
  <si>
    <t>Three answers, the same three closing offers.</t>
  </si>
  <si>
    <t>Requested. Don't save does not undo anything — autosave has already stored what it managed — it declines to WAIT for the write still outstanding, and the wording says so rather than the usual 'your changes will be lost', which would be false here.</t>
  </si>
  <si>
    <t>8e</t>
  </si>
  <si>
    <t>The Sheets article covers closing</t>
  </si>
  <si>
    <t>It described the drop question's two answers and said nothing about closing.</t>
  </si>
  <si>
    <t>The three answers, when closing asks and when it does not, what Don't save actually means, that browser back closes the sheet, and where File ▸ Close is.</t>
  </si>
  <si>
    <t>Project rule. The Don't save sentence matters most: a reader who thinks it reverts their work would use it expecting an undo.</t>
  </si>
  <si>
    <t>8f</t>
  </si>
  <si>
    <t>Closing a sheet you CHANGED always confirms</t>
  </si>
  <si>
    <t>8a gated the question on a write being outstanding. Both stores autosave about a second after you stop typing, so a second later everything read `saved` and Close went through in silence — which is exactly what was reported back: make a change, press Close, no prompt. From the outside that is indistinguishable from a sheet that never saved at all.</t>
  </si>
  <si>
    <t>Editing is tracked separately from whether a write is pending, and any sheet that was changed confirms on the way out. Everything stored says so and offers Close / Cancel; something outstanding still offers Save / Don't save / Cancel. A sheet only opened and read still closes straight away.</t>
  </si>
  <si>
    <t>Reported. Don't save is hidden where everything is stored rather than shown doing nothing — autosave cannot be undone, so the button would either be inert or imply a revert, and a choice with no consequence teaches people the whole dialog is decorative. The main button reads Close rather than Save for the same reason.</t>
  </si>
  <si>
    <t>lib/rules/sheets/leaveGuard.ts (+5 tests); Spreadsheet.tsx; lib/help/knowledge.ts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</si>
</sst>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 mmm  hh:mm:ss"/>
  </numFmts>
  <fonts count="7" x14ac:knownFonts="1">
    <font>
      <color theme="1"/>
      <family val="2"/>
      <scheme val="minor"/>
      <sz val="11"/>
      <name val="Calibri"/>
    </font>
    <font>
      <b/>
      <color rgb="FF1F1F23"/>
      <sz val="16"/>
      <name val="Calibri"/>
    </font>
    <font>
      <color rgb="FF1F1F23"/>
      <sz val="11"/>
      <name val="Calibri"/>
    </font>
    <font>
      <b/>
      <color rgb="FF1F1F23"/>
      <sz val="11"/>
      <name val="Calibri"/>
    </font>
    <font>
      <b/>
      <color rgb="FFFFFFFF"/>
      <sz val="11"/>
      <name val="Calibri"/>
    </font>
    <font>
      <i/>
      <color rgb="FF1F1F23"/>
      <sz val="11"/>
      <name val="Calibri"/>
    </font>
    <font>
      <b/>
      <color rgb="FF1F1F23"/>
      <sz val="12"/>
      <name val="Calibri"/>
    </font>
  </fonts>
  <fills count="7">
    <fill>
      <patternFill patternType="none"/>
    </fill>
    <fill>
      <patternFill patternType="gray125"/>
    </fill>
    <fill>
      <patternFill patternType="solid">
        <fgColor rgb="FF23232A"/>
      </patternFill>
    </fill>
    <fill>
      <patternFill patternType="solid">
        <fgColor rgb="FFDDDDE4"/>
      </patternFill>
    </fill>
    <fill>
      <patternFill patternType="solid">
        <fgColor rgb="FFEDEDF2"/>
      </patternFill>
    </fill>
    <fill>
      <patternFill patternType="solid">
        <fgColor rgb="FFFFF6DC"/>
      </patternFill>
    </fill>
    <fill>
      <patternFill patternType="solid">
        <fgColor rgb="FFDCDCE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vertical="top"/>
    </xf>
    <xf numFmtId="0" fontId="2" fillId="0" borderId="0" xfId="0" applyFont="1" applyAlignment="1">
      <alignment vertical="top" wrapText="1"/>
    </xf>
    <xf numFmtId="0" fontId="2" fillId="0" borderId="0" xfId="0" applyFont="1" applyAlignment="1">
      <alignment vertical="top"/>
    </xf>
    <xf numFmtId="0" fontId="3" fillId="0" borderId="0" xfId="0" applyFont="1" applyAlignment="1">
      <alignment vertical="top"/>
    </xf>
    <xf numFmtId="0" fontId="4" fillId="2" borderId="0" xfId="0" applyFont="1" applyFill="1" applyAlignment="1">
      <alignment vertical="center" wrapText="1"/>
    </xf>
    <xf numFmtId="0" fontId="3" fillId="3" borderId="0" xfId="0" applyFont="1" applyFill="1" applyAlignment="1">
      <alignment vertical="center"/>
    </xf>
    <xf numFmtId="0" fontId="3" fillId="4" borderId="0" xfId="0" applyFont="1" applyFill="1" applyAlignment="1">
      <alignment vertical="center" wrapText="1"/>
    </xf>
    <xf numFmtId="164" fontId="3" fillId="4" borderId="0" xfId="0" applyNumberFormat="1" applyFont="1" applyFill="1" applyAlignment="1">
      <alignment horizontal="center" vertical="center" wrapText="1"/>
    </xf>
    <xf numFmtId="46" fontId="3" fillId="4" borderId="0" xfId="0" applyNumberFormat="1" applyFont="1" applyFill="1" applyAlignment="1">
      <alignment horizontal="center" vertical="center" wrapText="1"/>
    </xf>
    <xf numFmtId="0" fontId="3" fillId="0" borderId="0" xfId="0" applyFont="1" applyAlignment="1">
      <alignment vertical="top" wrapText="1"/>
    </xf>
    <xf numFmtId="164" fontId="2" fillId="0" borderId="0" xfId="0" applyNumberFormat="1" applyFont="1" applyAlignment="1">
      <alignment horizontal="center" vertical="top" wrapText="1"/>
    </xf>
    <xf numFmtId="46" fontId="2" fillId="0" borderId="0" xfId="0" applyNumberFormat="1" applyFont="1" applyAlignment="1">
      <alignment horizontal="center" vertical="top" wrapText="1"/>
    </xf>
    <xf numFmtId="0" fontId="2" fillId="5" borderId="0" xfId="0" applyFont="1" applyFill="1" applyAlignment="1">
      <alignment vertical="top" wrapText="1"/>
    </xf>
    <xf numFmtId="0" fontId="5" fillId="0" borderId="0" xfId="0" applyFont="1"/>
    <xf numFmtId="0" fontId="6" fillId="6"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
  <sheetViews>
    <sheetView workbookViewId="0" showGridLines="0"/>
  </sheetViews>
  <sheetFormatPr defaultRowHeight="15" outlineLevelRow="0" outlineLevelCol="0" x14ac:dyDescent="55"/>
  <cols>
    <col min="1" max="1" width="26" customWidth="1"/>
    <col min="2" max="2" width="96" customWidth="1"/>
  </cols>
  <sheetData>
    <row r="1" spans="1:2" x14ac:dyDescent="0.25">
      <c r="A1" s="1" t="s">
        <v>0</v>
      </c>
      <c r="B1" s="2"/>
    </row>
    <row r="2" spans="1:2" x14ac:dyDescent="0.25">
      <c r="A2" s="3"/>
      <c r="B2" s="2"/>
    </row>
    <row r="3" ht="16" customHeight="1" spans="1:2" x14ac:dyDescent="0.25">
      <c r="A3" s="4" t="s">
        <v>1</v>
      </c>
      <c r="B3" s="2" t="s">
        <v>2</v>
      </c>
    </row>
    <row r="4" spans="1:2" x14ac:dyDescent="0.25">
      <c r="A4" s="3"/>
      <c r="B4" s="2"/>
    </row>
    <row r="5" spans="1:2" x14ac:dyDescent="0.25">
      <c r="A5" s="4" t="s">
        <v>3</v>
      </c>
      <c r="B5" s="2"/>
    </row>
    <row r="6" ht="16" customHeight="1" spans="1:2" x14ac:dyDescent="0.25">
      <c r="A6" s="4" t="s">
        <v>4</v>
      </c>
      <c r="B6" s="2" t="s">
        <v>5</v>
      </c>
    </row>
    <row r="7" ht="30" customHeight="1" spans="1:2" x14ac:dyDescent="0.25">
      <c r="A7" s="4" t="s">
        <v>6</v>
      </c>
      <c r="B7" s="2" t="s">
        <v>7</v>
      </c>
    </row>
    <row r="8" ht="30" customHeight="1" spans="1:2" x14ac:dyDescent="0.25">
      <c r="A8" s="4" t="s">
        <v>8</v>
      </c>
      <c r="B8" s="2" t="s">
        <v>9</v>
      </c>
    </row>
    <row r="9" ht="16" customHeight="1" spans="1:2" x14ac:dyDescent="0.25">
      <c r="A9" s="4" t="s">
        <v>10</v>
      </c>
      <c r="B9" s="2" t="s">
        <v>11</v>
      </c>
    </row>
    <row r="10" spans="1:2" x14ac:dyDescent="0.25">
      <c r="A10" s="3"/>
      <c r="B10" s="2"/>
    </row>
    <row r="11" spans="1:2" x14ac:dyDescent="0.25">
      <c r="A11" s="4" t="s">
        <v>12</v>
      </c>
      <c r="B11" s="2"/>
    </row>
    <row r="12" ht="30" customHeight="1" spans="1:2" x14ac:dyDescent="0.25">
      <c r="A12" s="4" t="s">
        <v>13</v>
      </c>
      <c r="B12" s="2" t="s">
        <v>14</v>
      </c>
    </row>
    <row r="13" ht="45" customHeight="1" spans="1:2" x14ac:dyDescent="0.25">
      <c r="A13" s="4" t="s">
        <v>15</v>
      </c>
      <c r="B13" s="2" t="s">
        <v>16</v>
      </c>
    </row>
    <row r="14" ht="30" customHeight="1" spans="1:2" x14ac:dyDescent="0.25">
      <c r="A14" s="4" t="s">
        <v>17</v>
      </c>
      <c r="B14" s="2" t="s">
        <v>18</v>
      </c>
    </row>
    <row r="15" ht="45" customHeight="1" spans="1:2" x14ac:dyDescent="0.25">
      <c r="A15" s="4" t="s">
        <v>19</v>
      </c>
      <c r="B15" s="2" t="s">
        <v>20</v>
      </c>
    </row>
    <row r="16" ht="45" customHeight="1" spans="1:2" x14ac:dyDescent="0.25">
      <c r="A16" s="4" t="s">
        <v>21</v>
      </c>
      <c r="B16" s="2" t="s">
        <v>22</v>
      </c>
    </row>
    <row r="17" spans="1:2" x14ac:dyDescent="0.25">
      <c r="A17" s="3"/>
      <c r="B17" s="2"/>
    </row>
    <row r="18" spans="1:2" x14ac:dyDescent="0.25">
      <c r="A18" s="4" t="s">
        <v>23</v>
      </c>
      <c r="B18" s="2"/>
    </row>
    <row r="19" ht="45" customHeight="1" spans="1:2" x14ac:dyDescent="0.25">
      <c r="A19" s="4" t="s">
        <v>24</v>
      </c>
      <c r="B19" s="2" t="s">
        <v>25</v>
      </c>
    </row>
    <row r="20" ht="45" customHeight="1" spans="1:2" x14ac:dyDescent="0.25">
      <c r="A20" s="4" t="s">
        <v>26</v>
      </c>
      <c r="B20" s="2" t="s">
        <v>27</v>
      </c>
    </row>
    <row r="21" ht="45" customHeight="1" spans="1:2" x14ac:dyDescent="0.25">
      <c r="A21" s="4" t="s">
        <v>28</v>
      </c>
      <c r="B21" s="2" t="s">
        <v>29</v>
      </c>
    </row>
    <row r="22" spans="1:2" x14ac:dyDescent="0.25">
      <c r="A22" s="3"/>
      <c r="B22" s="2"/>
    </row>
    <row r="23" spans="1:2" x14ac:dyDescent="0.25">
      <c r="A23" s="4" t="s">
        <v>30</v>
      </c>
      <c r="B23" s="2"/>
    </row>
    <row r="24" ht="16" customHeight="1" spans="1:2" x14ac:dyDescent="0.25">
      <c r="A24" s="4" t="s">
        <v>31</v>
      </c>
      <c r="B24" s="2" t="s">
        <v>32</v>
      </c>
    </row>
    <row r="25" ht="16" customHeight="1" spans="1:2" x14ac:dyDescent="0.25">
      <c r="A25" s="4" t="s">
        <v>33</v>
      </c>
      <c r="B25" s="2" t="s">
        <v>34</v>
      </c>
    </row>
    <row r="26" spans="1:2" x14ac:dyDescent="0.25">
      <c r="A26" s="3"/>
      <c r="B26" s="2"/>
    </row>
    <row r="27" spans="1:2" x14ac:dyDescent="0.25">
      <c r="A27" s="4" t="s">
        <v>35</v>
      </c>
      <c r="B27" s="2"/>
    </row>
    <row r="28" ht="16" customHeight="1" spans="1:2" x14ac:dyDescent="0.25">
      <c r="A28" s="4" t="s">
        <v>36</v>
      </c>
      <c r="B28" s="2" t="s">
        <v>37</v>
      </c>
    </row>
    <row r="29" ht="16" customHeight="1" spans="1:2" x14ac:dyDescent="0.25">
      <c r="A29" s="4" t="s">
        <v>38</v>
      </c>
      <c r="B29" s="2" t="s">
        <v>39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1"/>
  <sheetViews>
    <sheetView workbookViewId="0" showGridLines="0">
      <pane xSplit="1" ySplit="1" topLeftCell="B2" activePane="bottomRight" state="frozen"/>
      <selection pane="bottomRight"/>
    </sheetView>
  </sheetViews>
  <sheetFormatPr defaultRowHeight="15" outlineLevelRow="0" outlineLevelCol="0" x14ac:dyDescent="55"/>
  <cols>
    <col min="1" max="1" width="7" customWidth="1"/>
    <col min="2" max="3" width="17" customWidth="1"/>
    <col min="4" max="4" width="11" customWidth="1"/>
    <col min="5" max="5" width="24" customWidth="1"/>
    <col min="6" max="6" width="28" customWidth="1"/>
    <col min="7" max="8" width="42" customWidth="1"/>
    <col min="9" max="9" width="46" customWidth="1"/>
    <col min="10" max="10" width="11" customWidth="1"/>
    <col min="11" max="11" width="36" customWidth="1"/>
  </cols>
  <sheetData>
    <row r="1" ht="24" customHeight="1" spans="1:11" x14ac:dyDescent="0.25">
      <c r="A1" s="5" t="s">
        <v>40</v>
      </c>
      <c r="B1" s="5" t="s">
        <v>41</v>
      </c>
      <c r="C1" s="5" t="s">
        <v>42</v>
      </c>
      <c r="D1" s="5" t="s">
        <v>43</v>
      </c>
      <c r="E1" s="5" t="s">
        <v>44</v>
      </c>
      <c r="F1" s="5" t="s">
        <v>45</v>
      </c>
      <c r="G1" s="5" t="s">
        <v>46</v>
      </c>
      <c r="H1" s="5" t="s">
        <v>47</v>
      </c>
      <c r="I1" s="5" t="s">
        <v>48</v>
      </c>
      <c r="J1" s="5" t="s">
        <v>30</v>
      </c>
      <c r="K1" s="5" t="s">
        <v>49</v>
      </c>
    </row>
    <row r="2" ht="22" customHeight="1" spans="1:11" x14ac:dyDescent="0.25">
      <c r="A2" s="6" t="s">
        <v>50</v>
      </c>
      <c r="B2" s="6"/>
      <c r="C2" s="6"/>
      <c r="D2" s="6"/>
      <c r="E2" s="6"/>
      <c r="F2" s="6"/>
      <c r="G2" s="6"/>
      <c r="H2" s="6"/>
      <c r="I2" s="6"/>
      <c r="J2" s="6"/>
      <c r="K2" s="6"/>
    </row>
    <row r="3" ht="30" customHeight="1" spans="1:11" x14ac:dyDescent="0.25">
      <c r="A3" s="7" t="s">
        <v>51</v>
      </c>
      <c r="B3" s="8">
        <v>46269.7103125</v>
      </c>
      <c r="C3" s="8">
        <v>46269.724016203705</v>
      </c>
      <c r="D3" s="9">
        <f>C3-B3</f>
        <v>0.013703703703703704</v>
      </c>
      <c r="E3" s="7" t="s">
        <v>52</v>
      </c>
      <c r="F3" s="7"/>
      <c r="G3" s="7"/>
      <c r="H3" s="7"/>
      <c r="I3" s="7" t="s">
        <v>53</v>
      </c>
      <c r="J3" s="7"/>
      <c r="K3" s="7"/>
    </row>
    <row r="4" ht="76" customHeight="1" spans="1:11" x14ac:dyDescent="0.25">
      <c r="A4" s="10" t="s">
        <v>54</v>
      </c>
      <c r="B4" s="11">
        <v>46269.71876157407</v>
      </c>
      <c r="C4" s="11">
        <v>46269.71960648148</v>
      </c>
      <c r="D4" s="12">
        <f>C4-B4</f>
        <v>0.0008449074074074074</v>
      </c>
      <c r="E4" s="2" t="s">
        <v>55</v>
      </c>
      <c r="F4" s="2" t="s">
        <v>56</v>
      </c>
      <c r="G4" s="2" t="s">
        <v>57</v>
      </c>
      <c r="H4" s="2" t="s">
        <v>58</v>
      </c>
      <c r="I4" s="2" t="s">
        <v>59</v>
      </c>
      <c r="J4" s="2" t="s">
        <v>31</v>
      </c>
      <c r="K4" s="2" t="s">
        <v>60</v>
      </c>
    </row>
    <row r="5" ht="62" customHeight="1" spans="1:11" x14ac:dyDescent="0.25">
      <c r="A5" s="10" t="s">
        <v>61</v>
      </c>
      <c r="B5" s="11">
        <v>46269.71418981481</v>
      </c>
      <c r="C5" s="11">
        <v>46269.71420138889</v>
      </c>
      <c r="D5" s="12">
        <f>C5-B5</f>
        <v>0.000011574074074074073</v>
      </c>
      <c r="E5" s="2" t="s">
        <v>62</v>
      </c>
      <c r="F5" s="2" t="s">
        <v>63</v>
      </c>
      <c r="G5" s="2" t="s">
        <v>64</v>
      </c>
      <c r="H5" s="2" t="s">
        <v>65</v>
      </c>
      <c r="I5" s="2" t="s">
        <v>66</v>
      </c>
      <c r="J5" s="2" t="s">
        <v>31</v>
      </c>
      <c r="K5" s="2" t="s">
        <v>67</v>
      </c>
    </row>
    <row r="6" ht="62" customHeight="1" spans="1:11" x14ac:dyDescent="0.25">
      <c r="A6" s="10" t="s">
        <v>68</v>
      </c>
      <c r="B6" s="11">
        <v>46269.71702546296</v>
      </c>
      <c r="C6" s="11">
        <v>46269.71836805556</v>
      </c>
      <c r="D6" s="12">
        <f>C6-B6</f>
        <v>0.0013425925925925925</v>
      </c>
      <c r="E6" s="2" t="s">
        <v>69</v>
      </c>
      <c r="F6" s="2" t="s">
        <v>70</v>
      </c>
      <c r="G6" s="2" t="s">
        <v>71</v>
      </c>
      <c r="H6" s="2" t="s">
        <v>72</v>
      </c>
      <c r="I6" s="2" t="s">
        <v>73</v>
      </c>
      <c r="J6" s="2" t="s">
        <v>31</v>
      </c>
      <c r="K6" s="2" t="s">
        <v>74</v>
      </c>
    </row>
    <row r="7" ht="48" customHeight="1" spans="1:11" x14ac:dyDescent="0.25">
      <c r="A7" s="10" t="s">
        <v>75</v>
      </c>
      <c r="B7" s="11">
        <v>46269.71420138889</v>
      </c>
      <c r="C7" s="11">
        <v>46269.71787037037</v>
      </c>
      <c r="D7" s="12">
        <f>C7-B7</f>
        <v>0.0036689814814814814</v>
      </c>
      <c r="E7" s="2" t="s">
        <v>76</v>
      </c>
      <c r="F7" s="2" t="s">
        <v>77</v>
      </c>
      <c r="G7" s="2" t="s">
        <v>78</v>
      </c>
      <c r="H7" s="2" t="s">
        <v>79</v>
      </c>
      <c r="I7" s="2" t="s">
        <v>80</v>
      </c>
      <c r="J7" s="2" t="s">
        <v>31</v>
      </c>
      <c r="K7" s="2" t="s">
        <v>81</v>
      </c>
    </row>
    <row r="8" ht="76" customHeight="1" spans="1:11" x14ac:dyDescent="0.25">
      <c r="A8" s="10" t="s">
        <v>82</v>
      </c>
      <c r="B8" s="11">
        <v>46269.71575231482</v>
      </c>
      <c r="C8" s="11">
        <v>46269.7163425926</v>
      </c>
      <c r="D8" s="12">
        <f>C8-B8</f>
        <v>0.0005902777777777778</v>
      </c>
      <c r="E8" s="2" t="s">
        <v>83</v>
      </c>
      <c r="F8" s="2" t="s">
        <v>84</v>
      </c>
      <c r="G8" s="2" t="s">
        <v>85</v>
      </c>
      <c r="H8" s="2" t="s">
        <v>86</v>
      </c>
      <c r="I8" s="2" t="s">
        <v>87</v>
      </c>
      <c r="J8" s="2" t="s">
        <v>31</v>
      </c>
      <c r="K8" s="2" t="s">
        <v>88</v>
      </c>
    </row>
    <row r="9" ht="76" customHeight="1" spans="1:11" x14ac:dyDescent="0.25">
      <c r="A9" s="10" t="s">
        <v>89</v>
      </c>
      <c r="B9" s="11">
        <v>46269.71420138889</v>
      </c>
      <c r="C9" s="11">
        <v>46269.71771990741</v>
      </c>
      <c r="D9" s="12">
        <f>C9-B9</f>
        <v>0.0035185185185185185</v>
      </c>
      <c r="E9" s="2" t="s">
        <v>90</v>
      </c>
      <c r="F9" s="2" t="s">
        <v>91</v>
      </c>
      <c r="G9" s="2" t="s">
        <v>92</v>
      </c>
      <c r="H9" s="2" t="s">
        <v>93</v>
      </c>
      <c r="I9" s="2" t="s">
        <v>94</v>
      </c>
      <c r="J9" s="2" t="s">
        <v>31</v>
      </c>
      <c r="K9" s="2" t="s">
        <v>81</v>
      </c>
    </row>
    <row r="10" ht="48" customHeight="1" spans="1:11" x14ac:dyDescent="0.25">
      <c r="A10" s="10" t="s">
        <v>95</v>
      </c>
      <c r="B10" s="11">
        <v>46269.71418981481</v>
      </c>
      <c r="C10" s="11">
        <v>46269.71430555556</v>
      </c>
      <c r="D10" s="12">
        <f>C10-B10</f>
        <v>0.00011574074074074075</v>
      </c>
      <c r="E10" s="2" t="s">
        <v>96</v>
      </c>
      <c r="F10" s="2" t="s">
        <v>97</v>
      </c>
      <c r="G10" s="2" t="s">
        <v>98</v>
      </c>
      <c r="H10" s="2" t="s">
        <v>99</v>
      </c>
      <c r="I10" s="2" t="s">
        <v>100</v>
      </c>
      <c r="J10" s="2" t="s">
        <v>31</v>
      </c>
      <c r="K10" s="2" t="s">
        <v>101</v>
      </c>
    </row>
    <row r="11" ht="62" customHeight="1" spans="1:11" x14ac:dyDescent="0.25">
      <c r="A11" s="10" t="s">
        <v>102</v>
      </c>
      <c r="B11" s="11">
        <v>46269.71418981481</v>
      </c>
      <c r="C11" s="11">
        <v>46269.71728009259</v>
      </c>
      <c r="D11" s="12">
        <f>C11-B11</f>
        <v>0.0030902777777777777</v>
      </c>
      <c r="E11" s="2" t="s">
        <v>83</v>
      </c>
      <c r="F11" s="2" t="s">
        <v>103</v>
      </c>
      <c r="G11" s="2" t="s">
        <v>104</v>
      </c>
      <c r="H11" s="2" t="s">
        <v>105</v>
      </c>
      <c r="I11" s="2" t="s">
        <v>106</v>
      </c>
      <c r="J11" s="2" t="s">
        <v>31</v>
      </c>
      <c r="K11" s="2" t="s">
        <v>107</v>
      </c>
    </row>
    <row r="12" ht="62" customHeight="1" spans="1:11" x14ac:dyDescent="0.25">
      <c r="A12" s="10" t="s">
        <v>108</v>
      </c>
      <c r="B12" s="11">
        <v>46269.718668981484</v>
      </c>
      <c r="C12" s="11">
        <v>46269.71962962963</v>
      </c>
      <c r="D12" s="12">
        <f>C12-B12</f>
        <v>0.0009606481481481482</v>
      </c>
      <c r="E12" s="2" t="s">
        <v>109</v>
      </c>
      <c r="F12" s="2" t="s">
        <v>110</v>
      </c>
      <c r="G12" s="2" t="s">
        <v>111</v>
      </c>
      <c r="H12" s="2" t="s">
        <v>112</v>
      </c>
      <c r="I12" s="2" t="s">
        <v>113</v>
      </c>
      <c r="J12" s="2" t="s">
        <v>31</v>
      </c>
      <c r="K12" s="2" t="s">
        <v>60</v>
      </c>
    </row>
    <row r="13" ht="62" customHeight="1" spans="1:11" x14ac:dyDescent="0.25">
      <c r="A13" s="10" t="s">
        <v>114</v>
      </c>
      <c r="B13" s="11">
        <v>46269.721770833334</v>
      </c>
      <c r="C13" s="11">
        <v>46269.722233796296</v>
      </c>
      <c r="D13" s="12">
        <f>C13-B13</f>
        <v>0.000462962962962963</v>
      </c>
      <c r="E13" s="2" t="s">
        <v>115</v>
      </c>
      <c r="F13" s="2" t="s">
        <v>116</v>
      </c>
      <c r="G13" s="2" t="s">
        <v>117</v>
      </c>
      <c r="H13" s="2" t="s">
        <v>118</v>
      </c>
      <c r="I13" s="2" t="s">
        <v>119</v>
      </c>
      <c r="J13" s="2" t="s">
        <v>31</v>
      </c>
      <c r="K13" s="2" t="s">
        <v>120</v>
      </c>
    </row>
    <row r="14" ht="30" customHeight="1" spans="1:11" x14ac:dyDescent="0.25">
      <c r="A14" s="7" t="s">
        <v>121</v>
      </c>
      <c r="B14" s="8">
        <v>46269.729999999996</v>
      </c>
      <c r="C14" s="8">
        <v>46269.734189814815</v>
      </c>
      <c r="D14" s="9">
        <f>C14-B14</f>
        <v>0.004189814814814815</v>
      </c>
      <c r="E14" s="7" t="s">
        <v>122</v>
      </c>
      <c r="F14" s="7"/>
      <c r="G14" s="7"/>
      <c r="H14" s="7"/>
      <c r="I14" s="7" t="s">
        <v>123</v>
      </c>
      <c r="J14" s="7"/>
      <c r="K14" s="7"/>
    </row>
    <row r="15" ht="62" customHeight="1" spans="1:11" x14ac:dyDescent="0.25">
      <c r="A15" s="10" t="s">
        <v>124</v>
      </c>
      <c r="B15" s="11">
        <v>46269.732824074075</v>
      </c>
      <c r="C15" s="11">
        <v>46269.733310185184</v>
      </c>
      <c r="D15" s="12">
        <f>C15-B15</f>
        <v>0.0004861111111111111</v>
      </c>
      <c r="E15" s="2" t="s">
        <v>125</v>
      </c>
      <c r="F15" s="2" t="s">
        <v>126</v>
      </c>
      <c r="G15" s="2" t="s">
        <v>127</v>
      </c>
      <c r="H15" s="2" t="s">
        <v>128</v>
      </c>
      <c r="I15" s="2" t="s">
        <v>129</v>
      </c>
      <c r="J15" s="2" t="s">
        <v>31</v>
      </c>
      <c r="K15" s="2" t="s">
        <v>130</v>
      </c>
    </row>
    <row r="16" ht="76" customHeight="1" spans="1:11" x14ac:dyDescent="0.25">
      <c r="A16" s="10" t="s">
        <v>131</v>
      </c>
      <c r="B16" s="11">
        <v>46269.731932870374</v>
      </c>
      <c r="C16" s="11">
        <v>46269.73211805556</v>
      </c>
      <c r="D16" s="12">
        <f>C16-B16</f>
        <v>0.00018518518518518518</v>
      </c>
      <c r="E16" s="2" t="s">
        <v>132</v>
      </c>
      <c r="F16" s="2" t="s">
        <v>133</v>
      </c>
      <c r="G16" s="2" t="s">
        <v>64</v>
      </c>
      <c r="H16" s="2" t="s">
        <v>134</v>
      </c>
      <c r="I16" s="2" t="s">
        <v>135</v>
      </c>
      <c r="J16" s="2" t="s">
        <v>31</v>
      </c>
      <c r="K16" s="2" t="s">
        <v>136</v>
      </c>
    </row>
    <row r="17" ht="62" customHeight="1" spans="1:11" x14ac:dyDescent="0.25">
      <c r="A17" s="10" t="s">
        <v>137</v>
      </c>
      <c r="B17" s="11">
        <v>46269.732511574075</v>
      </c>
      <c r="C17" s="11">
        <v>46269.732557870375</v>
      </c>
      <c r="D17" s="12">
        <f>C17-B17</f>
        <v>0.000046296296296296294</v>
      </c>
      <c r="E17" s="2" t="s">
        <v>138</v>
      </c>
      <c r="F17" s="2" t="s">
        <v>139</v>
      </c>
      <c r="G17" s="2" t="s">
        <v>140</v>
      </c>
      <c r="H17" s="2" t="s">
        <v>141</v>
      </c>
      <c r="I17" s="2" t="s">
        <v>142</v>
      </c>
      <c r="J17" s="2" t="s">
        <v>31</v>
      </c>
      <c r="K17" s="2" t="s">
        <v>143</v>
      </c>
    </row>
    <row r="18" ht="62" customHeight="1" spans="1:11" x14ac:dyDescent="0.25">
      <c r="A18" s="10" t="s">
        <v>144</v>
      </c>
      <c r="B18" s="11">
        <v>46269.732824074075</v>
      </c>
      <c r="C18" s="11">
        <v>46269.73297453704</v>
      </c>
      <c r="D18" s="12">
        <f>C18-B18</f>
        <v>0.00015046296296296297</v>
      </c>
      <c r="E18" s="2" t="s">
        <v>138</v>
      </c>
      <c r="F18" s="2" t="s">
        <v>145</v>
      </c>
      <c r="G18" s="2" t="s">
        <v>146</v>
      </c>
      <c r="H18" s="2" t="s">
        <v>147</v>
      </c>
      <c r="I18" s="2" t="s">
        <v>148</v>
      </c>
      <c r="J18" s="2" t="s">
        <v>31</v>
      </c>
      <c r="K18" s="2" t="s">
        <v>149</v>
      </c>
    </row>
    <row r="19" ht="30" customHeight="1" spans="1:11" x14ac:dyDescent="0.25">
      <c r="A19" s="7" t="s">
        <v>150</v>
      </c>
      <c r="B19" s="8">
        <v>46269.736608796295</v>
      </c>
      <c r="C19" s="8">
        <v>46269.74591435185</v>
      </c>
      <c r="D19" s="9">
        <f>C19-B19</f>
        <v>0.009305555555555555</v>
      </c>
      <c r="E19" s="7" t="s">
        <v>151</v>
      </c>
      <c r="F19" s="7"/>
      <c r="G19" s="7"/>
      <c r="H19" s="7"/>
      <c r="I19" s="7" t="s">
        <v>152</v>
      </c>
      <c r="J19" s="7"/>
      <c r="K19" s="7"/>
    </row>
    <row r="20" ht="62" customHeight="1" spans="1:11" x14ac:dyDescent="0.25">
      <c r="A20" s="10" t="s">
        <v>153</v>
      </c>
      <c r="B20" s="11">
        <v>46269.736608796295</v>
      </c>
      <c r="C20" s="11">
        <v>46269.73991898148</v>
      </c>
      <c r="D20" s="12">
        <f>C20-B20</f>
        <v>0.003310185185185185</v>
      </c>
      <c r="E20" s="2" t="s">
        <v>154</v>
      </c>
      <c r="F20" s="2" t="s">
        <v>155</v>
      </c>
      <c r="G20" s="2" t="s">
        <v>156</v>
      </c>
      <c r="H20" s="2" t="s">
        <v>157</v>
      </c>
      <c r="I20" s="2" t="s">
        <v>158</v>
      </c>
      <c r="J20" s="2" t="s">
        <v>31</v>
      </c>
      <c r="K20" s="2" t="s">
        <v>159</v>
      </c>
    </row>
    <row r="21" ht="62" customHeight="1" spans="1:11" x14ac:dyDescent="0.25">
      <c r="A21" s="10" t="s">
        <v>160</v>
      </c>
      <c r="B21" s="11">
        <v>46269.74209490741</v>
      </c>
      <c r="C21" s="11">
        <v>46269.74591435185</v>
      </c>
      <c r="D21" s="12">
        <f>C21-B21</f>
        <v>0.0038194444444444443</v>
      </c>
      <c r="E21" s="2" t="s">
        <v>161</v>
      </c>
      <c r="F21" s="2" t="s">
        <v>162</v>
      </c>
      <c r="G21" s="2" t="s">
        <v>163</v>
      </c>
      <c r="H21" s="2" t="s">
        <v>164</v>
      </c>
      <c r="I21" s="2" t="s">
        <v>165</v>
      </c>
      <c r="J21" s="2" t="s">
        <v>31</v>
      </c>
      <c r="K21" s="2" t="s">
        <v>159</v>
      </c>
    </row>
    <row r="22" ht="30" customHeight="1" spans="1:11" x14ac:dyDescent="0.25">
      <c r="A22" s="7" t="s">
        <v>166</v>
      </c>
      <c r="B22" s="8">
        <v>46269.747210648144</v>
      </c>
      <c r="C22" s="8">
        <v>46269.76292824074</v>
      </c>
      <c r="D22" s="9">
        <f>C22-B22</f>
        <v>0.015717592592592592</v>
      </c>
      <c r="E22" s="7" t="s">
        <v>167</v>
      </c>
      <c r="F22" s="7"/>
      <c r="G22" s="7"/>
      <c r="H22" s="7"/>
      <c r="I22" s="7" t="s">
        <v>168</v>
      </c>
      <c r="J22" s="7"/>
      <c r="K22" s="7"/>
    </row>
    <row r="23" ht="104" customHeight="1" spans="1:11" x14ac:dyDescent="0.25">
      <c r="A23" s="10" t="s">
        <v>169</v>
      </c>
      <c r="B23" s="11">
        <v>46269.75122685185</v>
      </c>
      <c r="C23" s="11">
        <v>46269.75170138889</v>
      </c>
      <c r="D23" s="12">
        <f>C23-B23</f>
        <v>0.00047453703703703704</v>
      </c>
      <c r="E23" s="2" t="s">
        <v>170</v>
      </c>
      <c r="F23" s="2" t="s">
        <v>171</v>
      </c>
      <c r="G23" s="2" t="s">
        <v>172</v>
      </c>
      <c r="H23" s="2" t="s">
        <v>173</v>
      </c>
      <c r="I23" s="2" t="s">
        <v>174</v>
      </c>
      <c r="J23" s="2" t="s">
        <v>31</v>
      </c>
      <c r="K23" s="2" t="s">
        <v>175</v>
      </c>
    </row>
    <row r="24" ht="90" customHeight="1" spans="1:11" x14ac:dyDescent="0.25">
      <c r="A24" s="10" t="s">
        <v>176</v>
      </c>
      <c r="B24" s="11">
        <v>46269.758101851854</v>
      </c>
      <c r="C24" s="11">
        <v>46269.75834490741</v>
      </c>
      <c r="D24" s="12">
        <f>C24-B24</f>
        <v>0.00024305555555555555</v>
      </c>
      <c r="E24" s="2" t="s">
        <v>177</v>
      </c>
      <c r="F24" s="2" t="s">
        <v>178</v>
      </c>
      <c r="G24" s="2" t="s">
        <v>179</v>
      </c>
      <c r="H24" s="2" t="s">
        <v>180</v>
      </c>
      <c r="I24" s="2" t="s">
        <v>181</v>
      </c>
      <c r="J24" s="2" t="s">
        <v>31</v>
      </c>
      <c r="K24" s="2" t="s">
        <v>182</v>
      </c>
    </row>
    <row r="25" ht="76" customHeight="1" spans="1:11" x14ac:dyDescent="0.25">
      <c r="A25" s="10" t="s">
        <v>183</v>
      </c>
      <c r="B25" s="11">
        <v>46269.76292824074</v>
      </c>
      <c r="C25" s="11">
        <v>46269.76292824074</v>
      </c>
      <c r="D25" s="12">
        <f>C25-B25</f>
        <v>0</v>
      </c>
      <c r="E25" s="2" t="s">
        <v>184</v>
      </c>
      <c r="F25" s="2" t="s">
        <v>185</v>
      </c>
      <c r="G25" s="2" t="s">
        <v>64</v>
      </c>
      <c r="H25" s="2" t="s">
        <v>186</v>
      </c>
      <c r="I25" s="2" t="s">
        <v>187</v>
      </c>
      <c r="J25" s="2" t="s">
        <v>31</v>
      </c>
      <c r="K25" s="2" t="s">
        <v>188</v>
      </c>
    </row>
    <row r="26" ht="30" customHeight="1" spans="1:11" x14ac:dyDescent="0.25">
      <c r="A26" s="7" t="s">
        <v>189</v>
      </c>
      <c r="B26" s="8">
        <v>46269.773148148146</v>
      </c>
      <c r="C26" s="8">
        <v>46269.84722222222</v>
      </c>
      <c r="D26" s="9">
        <f>C26-B26</f>
        <v>0.07407407407407407</v>
      </c>
      <c r="E26" s="7" t="s">
        <v>190</v>
      </c>
      <c r="F26" s="7"/>
      <c r="G26" s="7"/>
      <c r="H26" s="7"/>
      <c r="I26" s="7" t="s">
        <v>191</v>
      </c>
      <c r="J26" s="7"/>
      <c r="K26" s="7"/>
    </row>
    <row r="27" ht="62" customHeight="1" spans="1:11" x14ac:dyDescent="0.25">
      <c r="A27" s="10" t="s">
        <v>192</v>
      </c>
      <c r="B27" s="11">
        <v>46269.77475694445</v>
      </c>
      <c r="C27" s="11">
        <v>46269.77832175926</v>
      </c>
      <c r="D27" s="12">
        <f>C27-B27</f>
        <v>0.003564814814814815</v>
      </c>
      <c r="E27" s="2" t="s">
        <v>193</v>
      </c>
      <c r="F27" s="2" t="s">
        <v>194</v>
      </c>
      <c r="G27" s="2" t="s">
        <v>195</v>
      </c>
      <c r="H27" s="2" t="s">
        <v>196</v>
      </c>
      <c r="I27" s="2" t="s">
        <v>197</v>
      </c>
      <c r="J27" s="2" t="s">
        <v>31</v>
      </c>
      <c r="K27" s="2" t="s">
        <v>198</v>
      </c>
    </row>
    <row r="28" ht="132" customHeight="1" spans="1:11" x14ac:dyDescent="0.25">
      <c r="A28" s="10" t="s">
        <v>199</v>
      </c>
      <c r="B28" s="11">
        <v>46269.77590277778</v>
      </c>
      <c r="C28" s="11">
        <v>46269.781319444446</v>
      </c>
      <c r="D28" s="12">
        <f>C28-B28</f>
        <v>0.005416666666666667</v>
      </c>
      <c r="E28" s="2" t="s">
        <v>200</v>
      </c>
      <c r="F28" s="2" t="s">
        <v>201</v>
      </c>
      <c r="G28" s="2" t="s">
        <v>202</v>
      </c>
      <c r="H28" s="2" t="s">
        <v>203</v>
      </c>
      <c r="I28" s="2" t="s">
        <v>204</v>
      </c>
      <c r="J28" s="2" t="s">
        <v>31</v>
      </c>
      <c r="K28" s="2" t="s">
        <v>205</v>
      </c>
    </row>
    <row r="29" ht="76" customHeight="1" spans="1:11" x14ac:dyDescent="0.25">
      <c r="A29" s="10" t="s">
        <v>206</v>
      </c>
      <c r="B29" s="11">
        <v>46269.77886574074</v>
      </c>
      <c r="C29" s="11">
        <v>46269.781319444446</v>
      </c>
      <c r="D29" s="12">
        <f>C29-B29</f>
        <v>0.0024537037037037036</v>
      </c>
      <c r="E29" s="2" t="s">
        <v>207</v>
      </c>
      <c r="F29" s="2" t="s">
        <v>208</v>
      </c>
      <c r="G29" s="2" t="s">
        <v>209</v>
      </c>
      <c r="H29" s="2" t="s">
        <v>210</v>
      </c>
      <c r="I29" s="2" t="s">
        <v>211</v>
      </c>
      <c r="J29" s="2" t="s">
        <v>31</v>
      </c>
      <c r="K29" s="2" t="s">
        <v>212</v>
      </c>
    </row>
    <row r="30" ht="76" customHeight="1" spans="1:11" x14ac:dyDescent="0.25">
      <c r="A30" s="10" t="s">
        <v>213</v>
      </c>
      <c r="B30" s="11">
        <v>46269.78247685185</v>
      </c>
      <c r="C30" s="11">
        <v>46269.78267361112</v>
      </c>
      <c r="D30" s="12">
        <f>C30-B30</f>
        <v>0.00019675925925925926</v>
      </c>
      <c r="E30" s="2" t="s">
        <v>115</v>
      </c>
      <c r="F30" s="2" t="s">
        <v>214</v>
      </c>
      <c r="G30" s="2" t="s">
        <v>215</v>
      </c>
      <c r="H30" s="2" t="s">
        <v>216</v>
      </c>
      <c r="I30" s="2" t="s">
        <v>217</v>
      </c>
      <c r="J30" s="2" t="s">
        <v>31</v>
      </c>
      <c r="K30" s="2" t="s">
        <v>120</v>
      </c>
    </row>
    <row r="31" ht="90" customHeight="1" spans="1:11" x14ac:dyDescent="0.25">
      <c r="A31" s="10" t="s">
        <v>218</v>
      </c>
      <c r="B31" s="11">
        <v>46269.79305555555</v>
      </c>
      <c r="C31" s="11">
        <v>46269.810069444444</v>
      </c>
      <c r="D31" s="12">
        <f>C31-B31</f>
        <v>0.017013888888888887</v>
      </c>
      <c r="E31" s="2" t="s">
        <v>219</v>
      </c>
      <c r="F31" s="2" t="s">
        <v>220</v>
      </c>
      <c r="G31" s="2" t="s">
        <v>221</v>
      </c>
      <c r="H31" s="2" t="s">
        <v>222</v>
      </c>
      <c r="I31" s="2" t="s">
        <v>223</v>
      </c>
      <c r="J31" s="2" t="s">
        <v>31</v>
      </c>
      <c r="K31" s="2" t="s">
        <v>224</v>
      </c>
    </row>
    <row r="32" ht="118" customHeight="1" spans="1:11" x14ac:dyDescent="0.25">
      <c r="A32" s="10" t="s">
        <v>225</v>
      </c>
      <c r="B32" s="11">
        <v>46269.82550925926</v>
      </c>
      <c r="C32" s="11">
        <v>46269.82586805556</v>
      </c>
      <c r="D32" s="12">
        <f>C32-B32</f>
        <v>0.0003587962962962963</v>
      </c>
      <c r="E32" s="2" t="s">
        <v>226</v>
      </c>
      <c r="F32" s="2" t="s">
        <v>227</v>
      </c>
      <c r="G32" s="2" t="s">
        <v>228</v>
      </c>
      <c r="H32" s="2" t="s">
        <v>229</v>
      </c>
      <c r="I32" s="2" t="s">
        <v>230</v>
      </c>
      <c r="J32" s="2" t="s">
        <v>31</v>
      </c>
      <c r="K32" s="2" t="s">
        <v>231</v>
      </c>
    </row>
    <row r="33" ht="104" customHeight="1" spans="1:11" x14ac:dyDescent="0.25">
      <c r="A33" s="10" t="s">
        <v>232</v>
      </c>
      <c r="B33" s="11">
        <v>46269.82604166667</v>
      </c>
      <c r="C33" s="11">
        <v>46269.827199074076</v>
      </c>
      <c r="D33" s="12">
        <f>C33-B33</f>
        <v>0.0011574074074074073</v>
      </c>
      <c r="E33" s="2" t="s">
        <v>233</v>
      </c>
      <c r="F33" s="2" t="s">
        <v>234</v>
      </c>
      <c r="G33" s="2" t="s">
        <v>235</v>
      </c>
      <c r="H33" s="2" t="s">
        <v>236</v>
      </c>
      <c r="I33" s="2" t="s">
        <v>237</v>
      </c>
      <c r="J33" s="2" t="s">
        <v>31</v>
      </c>
      <c r="K33" s="2" t="s">
        <v>238</v>
      </c>
    </row>
    <row r="34" ht="48" customHeight="1" spans="1:11" x14ac:dyDescent="0.25">
      <c r="A34" s="10" t="s">
        <v>239</v>
      </c>
      <c r="B34" s="11">
        <v>46269.82777777778</v>
      </c>
      <c r="C34" s="11">
        <v>46269.834027777775</v>
      </c>
      <c r="D34" s="12">
        <f>C34-B34</f>
        <v>0.00625</v>
      </c>
      <c r="E34" s="2" t="s">
        <v>115</v>
      </c>
      <c r="F34" s="2" t="s">
        <v>240</v>
      </c>
      <c r="G34" s="2" t="s">
        <v>241</v>
      </c>
      <c r="H34" s="2" t="s">
        <v>242</v>
      </c>
      <c r="I34" s="2" t="s">
        <v>243</v>
      </c>
      <c r="J34" s="2" t="s">
        <v>31</v>
      </c>
      <c r="K34" s="2" t="s">
        <v>120</v>
      </c>
    </row>
    <row r="35" ht="76" customHeight="1" spans="1:11" x14ac:dyDescent="0.25">
      <c r="A35" s="10" t="s">
        <v>244</v>
      </c>
      <c r="B35" s="11">
        <v>46269.834027777775</v>
      </c>
      <c r="C35" s="11">
        <v>46269.835069444445</v>
      </c>
      <c r="D35" s="12">
        <f>C35-B35</f>
        <v>0.0010416666666666667</v>
      </c>
      <c r="E35" s="2" t="s">
        <v>245</v>
      </c>
      <c r="F35" s="2" t="s">
        <v>246</v>
      </c>
      <c r="G35" s="2" t="s">
        <v>247</v>
      </c>
      <c r="H35" s="2" t="s">
        <v>248</v>
      </c>
      <c r="I35" s="2" t="s">
        <v>249</v>
      </c>
      <c r="J35" s="2" t="s">
        <v>31</v>
      </c>
      <c r="K35" s="2" t="s">
        <v>250</v>
      </c>
    </row>
    <row r="36" ht="118" customHeight="1" spans="1:11" x14ac:dyDescent="0.25">
      <c r="A36" s="10" t="s">
        <v>251</v>
      </c>
      <c r="B36" s="11">
        <v>46269.83541666667</v>
      </c>
      <c r="C36" s="11">
        <v>46269.84722222222</v>
      </c>
      <c r="D36" s="12">
        <f>C36-B36</f>
        <v>0.011805555555555555</v>
      </c>
      <c r="E36" s="2" t="s">
        <v>252</v>
      </c>
      <c r="F36" s="2" t="s">
        <v>253</v>
      </c>
      <c r="G36" s="2" t="s">
        <v>254</v>
      </c>
      <c r="H36" s="2" t="s">
        <v>255</v>
      </c>
      <c r="I36" s="2" t="s">
        <v>256</v>
      </c>
      <c r="J36" s="2" t="s">
        <v>31</v>
      </c>
      <c r="K36" s="2" t="s">
        <v>257</v>
      </c>
    </row>
    <row r="37" ht="30" customHeight="1" spans="1:11" x14ac:dyDescent="0.25">
      <c r="A37" s="7" t="s">
        <v>258</v>
      </c>
      <c r="B37" s="8">
        <v>46269.808391203704</v>
      </c>
      <c r="C37" s="8">
        <v>46270.42003472222</v>
      </c>
      <c r="D37" s="9">
        <f>C37-B37</f>
        <v>0.6116435185185185</v>
      </c>
      <c r="E37" s="7" t="s">
        <v>259</v>
      </c>
      <c r="F37" s="7"/>
      <c r="G37" s="7"/>
      <c r="H37" s="7"/>
      <c r="I37" s="7" t="s">
        <v>260</v>
      </c>
      <c r="J37" s="7"/>
      <c r="K37" s="7"/>
    </row>
    <row r="38" ht="146" customHeight="1" spans="1:11" x14ac:dyDescent="0.25">
      <c r="A38" s="10" t="s">
        <v>261</v>
      </c>
      <c r="B38" s="11">
        <v>46269.810069444444</v>
      </c>
      <c r="C38" s="11">
        <v>46269.811944444446</v>
      </c>
      <c r="D38" s="12">
        <f>C38-B38</f>
        <v>0.001875</v>
      </c>
      <c r="E38" s="2" t="s">
        <v>262</v>
      </c>
      <c r="F38" s="2" t="s">
        <v>263</v>
      </c>
      <c r="G38" s="2" t="s">
        <v>264</v>
      </c>
      <c r="H38" s="2" t="s">
        <v>265</v>
      </c>
      <c r="I38" s="2" t="s">
        <v>266</v>
      </c>
      <c r="J38" s="2" t="s">
        <v>31</v>
      </c>
      <c r="K38" s="2" t="s">
        <v>267</v>
      </c>
    </row>
    <row r="39" ht="48" customHeight="1" spans="1:11" x14ac:dyDescent="0.25">
      <c r="A39" s="10" t="s">
        <v>268</v>
      </c>
      <c r="B39" s="11">
        <v>46269.81261574074</v>
      </c>
      <c r="C39" s="11">
        <v>46269.81273148148</v>
      </c>
      <c r="D39" s="12">
        <f>C39-B39</f>
        <v>0.00011574074074074075</v>
      </c>
      <c r="E39" s="2" t="s">
        <v>115</v>
      </c>
      <c r="F39" s="2" t="s">
        <v>269</v>
      </c>
      <c r="G39" s="2" t="s">
        <v>270</v>
      </c>
      <c r="H39" s="2" t="s">
        <v>271</v>
      </c>
      <c r="I39" s="2" t="s">
        <v>217</v>
      </c>
      <c r="J39" s="2" t="s">
        <v>31</v>
      </c>
      <c r="K39" s="2" t="s">
        <v>120</v>
      </c>
    </row>
    <row r="40" ht="104" customHeight="1" spans="1:11" x14ac:dyDescent="0.25">
      <c r="A40" s="10" t="s">
        <v>272</v>
      </c>
      <c r="B40" s="11">
        <v>46269.84722222222</v>
      </c>
      <c r="C40" s="11">
        <v>46269.878437499996</v>
      </c>
      <c r="D40" s="12">
        <f>C40-B40</f>
        <v>0.03121527777777778</v>
      </c>
      <c r="E40" s="2" t="s">
        <v>273</v>
      </c>
      <c r="F40" s="2" t="s">
        <v>274</v>
      </c>
      <c r="G40" s="2" t="s">
        <v>275</v>
      </c>
      <c r="H40" s="2" t="s">
        <v>276</v>
      </c>
      <c r="I40" s="2" t="s">
        <v>277</v>
      </c>
      <c r="J40" s="2" t="s">
        <v>31</v>
      </c>
      <c r="K40" s="2" t="s">
        <v>278</v>
      </c>
    </row>
    <row r="41" ht="174" customHeight="1" spans="1:11" x14ac:dyDescent="0.25">
      <c r="A41" s="10" t="s">
        <v>279</v>
      </c>
      <c r="B41" s="11">
        <v>46269.878437499996</v>
      </c>
      <c r="C41" s="11">
        <v>46269.88643518518</v>
      </c>
      <c r="D41" s="12">
        <f>C41-B41</f>
        <v>0.007997685185185186</v>
      </c>
      <c r="E41" s="2" t="s">
        <v>262</v>
      </c>
      <c r="F41" s="2" t="s">
        <v>280</v>
      </c>
      <c r="G41" s="2" t="s">
        <v>281</v>
      </c>
      <c r="H41" s="2" t="s">
        <v>282</v>
      </c>
      <c r="I41" s="2" t="s">
        <v>283</v>
      </c>
      <c r="J41" s="2" t="s">
        <v>31</v>
      </c>
      <c r="K41" s="2" t="s">
        <v>284</v>
      </c>
    </row>
    <row r="42" ht="30" customHeight="1" spans="1:11" x14ac:dyDescent="0.25">
      <c r="A42" s="7" t="s">
        <v>285</v>
      </c>
      <c r="B42" s="8">
        <v>46269.813368055555</v>
      </c>
      <c r="C42" s="8">
        <v>46270.447222222225</v>
      </c>
      <c r="D42" s="9">
        <f>C42-B42</f>
        <v>0.6338541666666667</v>
      </c>
      <c r="E42" s="7" t="s">
        <v>286</v>
      </c>
      <c r="F42" s="7"/>
      <c r="G42" s="7"/>
      <c r="H42" s="7"/>
      <c r="I42" s="7" t="s">
        <v>287</v>
      </c>
      <c r="J42" s="7"/>
      <c r="K42" s="7"/>
    </row>
    <row r="43" ht="76" customHeight="1" spans="1:11" x14ac:dyDescent="0.25">
      <c r="A43" s="10" t="s">
        <v>288</v>
      </c>
      <c r="B43" s="11">
        <v>46269.81497685185</v>
      </c>
      <c r="C43" s="11">
        <v>46269.81497685185</v>
      </c>
      <c r="D43" s="12">
        <f>C43-B43</f>
        <v>0</v>
      </c>
      <c r="E43" s="2" t="s">
        <v>289</v>
      </c>
      <c r="F43" s="2" t="s">
        <v>290</v>
      </c>
      <c r="G43" s="2" t="s">
        <v>291</v>
      </c>
      <c r="H43" s="2" t="s">
        <v>292</v>
      </c>
      <c r="I43" s="2" t="s">
        <v>293</v>
      </c>
      <c r="J43" s="2" t="s">
        <v>31</v>
      </c>
      <c r="K43" s="2" t="s">
        <v>294</v>
      </c>
    </row>
    <row r="44" ht="90" customHeight="1" spans="1:11" x14ac:dyDescent="0.25">
      <c r="A44" s="10" t="s">
        <v>295</v>
      </c>
      <c r="B44" s="11">
        <v>46269.8141087963</v>
      </c>
      <c r="C44" s="11">
        <v>46269.81489583333</v>
      </c>
      <c r="D44" s="12">
        <f>C44-B44</f>
        <v>0.000787037037037037</v>
      </c>
      <c r="E44" s="2" t="s">
        <v>296</v>
      </c>
      <c r="F44" s="2" t="s">
        <v>297</v>
      </c>
      <c r="G44" s="2" t="s">
        <v>298</v>
      </c>
      <c r="H44" s="2" t="s">
        <v>299</v>
      </c>
      <c r="I44" s="2" t="s">
        <v>300</v>
      </c>
      <c r="J44" s="2" t="s">
        <v>31</v>
      </c>
      <c r="K44" s="2" t="s">
        <v>301</v>
      </c>
    </row>
    <row r="45" ht="90" customHeight="1" spans="1:11" x14ac:dyDescent="0.25">
      <c r="A45" s="10" t="s">
        <v>302</v>
      </c>
      <c r="B45" s="11">
        <v>46269.81443287037</v>
      </c>
      <c r="C45" s="11">
        <v>46269.81570601852</v>
      </c>
      <c r="D45" s="12">
        <f>C45-B45</f>
        <v>0.0012731481481481483</v>
      </c>
      <c r="E45" s="2" t="s">
        <v>303</v>
      </c>
      <c r="F45" s="2" t="s">
        <v>304</v>
      </c>
      <c r="G45" s="2" t="s">
        <v>305</v>
      </c>
      <c r="H45" s="2" t="s">
        <v>306</v>
      </c>
      <c r="I45" s="2" t="s">
        <v>307</v>
      </c>
      <c r="J45" s="2" t="s">
        <v>31</v>
      </c>
      <c r="K45" s="2" t="s">
        <v>308</v>
      </c>
    </row>
    <row r="46" ht="48" customHeight="1" spans="1:11" x14ac:dyDescent="0.25">
      <c r="A46" s="10" t="s">
        <v>309</v>
      </c>
      <c r="B46" s="11">
        <v>46269.816203703704</v>
      </c>
      <c r="C46" s="11">
        <v>46269.816296296296</v>
      </c>
      <c r="D46" s="12">
        <f>C46-B46</f>
        <v>0.00009259259259259259</v>
      </c>
      <c r="E46" s="2" t="s">
        <v>115</v>
      </c>
      <c r="F46" s="2" t="s">
        <v>310</v>
      </c>
      <c r="G46" s="2" t="s">
        <v>311</v>
      </c>
      <c r="H46" s="2" t="s">
        <v>312</v>
      </c>
      <c r="I46" s="2" t="s">
        <v>217</v>
      </c>
      <c r="J46" s="2" t="s">
        <v>31</v>
      </c>
      <c r="K46" s="2" t="s">
        <v>120</v>
      </c>
    </row>
    <row r="47" ht="22" customHeight="1" spans="1:11" x14ac:dyDescent="0.25">
      <c r="A47" s="6" t="s">
        <v>313</v>
      </c>
      <c r="B47" s="6"/>
      <c r="C47" s="6"/>
      <c r="D47" s="6"/>
      <c r="E47" s="6"/>
      <c r="F47" s="6"/>
      <c r="G47" s="6"/>
      <c r="H47" s="6"/>
      <c r="I47" s="6"/>
      <c r="J47" s="6"/>
      <c r="K47" s="6"/>
    </row>
    <row r="48" ht="146" customHeight="1" spans="1:11" x14ac:dyDescent="0.25">
      <c r="A48" s="10" t="s">
        <v>314</v>
      </c>
      <c r="B48" s="11">
        <v>46270.51388888889</v>
      </c>
      <c r="C48" s="11">
        <v>46270.51944444445</v>
      </c>
      <c r="D48" s="12">
        <f>C48-B48</f>
        <v>0.005555555555555556</v>
      </c>
      <c r="E48" s="2" t="s">
        <v>315</v>
      </c>
      <c r="F48" s="2" t="s">
        <v>316</v>
      </c>
      <c r="G48" s="2" t="s">
        <v>317</v>
      </c>
      <c r="H48" s="2" t="s">
        <v>318</v>
      </c>
      <c r="I48" s="2" t="s">
        <v>319</v>
      </c>
      <c r="J48" s="2" t="s">
        <v>31</v>
      </c>
      <c r="K48" s="2" t="s">
        <v>320</v>
      </c>
    </row>
    <row r="49" ht="104" customHeight="1" spans="1:11" x14ac:dyDescent="0.25">
      <c r="A49" s="10" t="s">
        <v>321</v>
      </c>
      <c r="B49" s="11">
        <v>46270.42487268518</v>
      </c>
      <c r="C49" s="11">
        <v>46270.42679398148</v>
      </c>
      <c r="D49" s="12">
        <f>C49-B49</f>
        <v>0.0019212962962962964</v>
      </c>
      <c r="E49" s="2" t="s">
        <v>322</v>
      </c>
      <c r="F49" s="2" t="s">
        <v>323</v>
      </c>
      <c r="G49" s="2" t="s">
        <v>324</v>
      </c>
      <c r="H49" s="2" t="s">
        <v>325</v>
      </c>
      <c r="I49" s="2" t="s">
        <v>326</v>
      </c>
      <c r="J49" s="2" t="s">
        <v>31</v>
      </c>
      <c r="K49" s="2" t="s">
        <v>327</v>
      </c>
    </row>
    <row r="50" ht="76" customHeight="1" spans="1:11" x14ac:dyDescent="0.25">
      <c r="A50" s="10" t="s">
        <v>328</v>
      </c>
      <c r="B50" s="11">
        <v>46270.43513888889</v>
      </c>
      <c r="C50" s="11">
        <v>46270.43833333333</v>
      </c>
      <c r="D50" s="12">
        <f>C50-B50</f>
        <v>0.0031944444444444446</v>
      </c>
      <c r="E50" s="2" t="s">
        <v>161</v>
      </c>
      <c r="F50" s="2" t="s">
        <v>329</v>
      </c>
      <c r="G50" s="2" t="s">
        <v>330</v>
      </c>
      <c r="H50" s="2" t="s">
        <v>331</v>
      </c>
      <c r="I50" s="2" t="s">
        <v>332</v>
      </c>
      <c r="J50" s="2" t="s">
        <v>31</v>
      </c>
      <c r="K50" s="2" t="s">
        <v>327</v>
      </c>
    </row>
    <row r="51" ht="160" customHeight="1" spans="1:11" x14ac:dyDescent="0.25">
      <c r="A51" s="10" t="s">
        <v>333</v>
      </c>
      <c r="B51" s="11">
        <v>46270.40912037037</v>
      </c>
      <c r="C51" s="11">
        <v>46270.42003472222</v>
      </c>
      <c r="D51" s="12">
        <f>C51-B51</f>
        <v>0.010914351851851852</v>
      </c>
      <c r="E51" s="2" t="s">
        <v>262</v>
      </c>
      <c r="F51" s="2" t="s">
        <v>334</v>
      </c>
      <c r="G51" s="2" t="s">
        <v>335</v>
      </c>
      <c r="H51" s="2" t="s">
        <v>336</v>
      </c>
      <c r="I51" s="2" t="s">
        <v>337</v>
      </c>
      <c r="J51" s="2" t="s">
        <v>31</v>
      </c>
      <c r="K51" s="2" t="s">
        <v>338</v>
      </c>
    </row>
    <row r="52" ht="132" customHeight="1" spans="1:11" x14ac:dyDescent="0.25">
      <c r="A52" s="10" t="s">
        <v>339</v>
      </c>
      <c r="B52" s="11">
        <v>46270.43833333333</v>
      </c>
      <c r="C52" s="11">
        <v>46270.447222222225</v>
      </c>
      <c r="D52" s="12">
        <f>C52-B52</f>
        <v>0.008888888888888889</v>
      </c>
      <c r="E52" s="2" t="s">
        <v>340</v>
      </c>
      <c r="F52" s="2" t="s">
        <v>341</v>
      </c>
      <c r="G52" s="2" t="s">
        <v>342</v>
      </c>
      <c r="H52" s="2" t="s">
        <v>343</v>
      </c>
      <c r="I52" s="2" t="s">
        <v>344</v>
      </c>
      <c r="J52" s="2" t="s">
        <v>31</v>
      </c>
      <c r="K52" s="2" t="s">
        <v>345</v>
      </c>
    </row>
    <row r="53" ht="30" customHeight="1" spans="1:11" x14ac:dyDescent="0.25">
      <c r="A53" s="7" t="s">
        <v>346</v>
      </c>
      <c r="B53" s="8">
        <v>46270.447222222225</v>
      </c>
      <c r="C53" s="8">
        <v>46270.45972222222</v>
      </c>
      <c r="D53" s="9">
        <f>C53-B53</f>
        <v>0.0125</v>
      </c>
      <c r="E53" s="7" t="s">
        <v>347</v>
      </c>
      <c r="F53" s="7"/>
      <c r="G53" s="7"/>
      <c r="H53" s="7"/>
      <c r="I53" s="7" t="s">
        <v>348</v>
      </c>
      <c r="J53" s="7"/>
      <c r="K53" s="7"/>
    </row>
    <row r="54" ht="188" customHeight="1" spans="1:11" x14ac:dyDescent="0.25">
      <c r="A54" s="10" t="s">
        <v>349</v>
      </c>
      <c r="B54" s="11">
        <v>46270.447222222225</v>
      </c>
      <c r="C54" s="11">
        <v>46270.45972222222</v>
      </c>
      <c r="D54" s="12">
        <f>C54-B54</f>
        <v>0.0125</v>
      </c>
      <c r="E54" s="2" t="s">
        <v>350</v>
      </c>
      <c r="F54" s="2" t="s">
        <v>351</v>
      </c>
      <c r="G54" s="2" t="s">
        <v>352</v>
      </c>
      <c r="H54" s="2" t="s">
        <v>353</v>
      </c>
      <c r="I54" s="2" t="s">
        <v>354</v>
      </c>
      <c r="J54" s="2" t="s">
        <v>31</v>
      </c>
      <c r="K54" s="2" t="s">
        <v>355</v>
      </c>
    </row>
    <row r="55" ht="30" customHeight="1" spans="1:11" x14ac:dyDescent="0.25">
      <c r="A55" s="7" t="s">
        <v>356</v>
      </c>
      <c r="B55" s="8">
        <v>46270.461805555555</v>
      </c>
      <c r="C55" s="8">
        <v>46270.46840277778</v>
      </c>
      <c r="D55" s="9">
        <f>C55-B55</f>
        <v>0.006597222222222222</v>
      </c>
      <c r="E55" s="7" t="s">
        <v>357</v>
      </c>
      <c r="F55" s="7"/>
      <c r="G55" s="7"/>
      <c r="H55" s="7"/>
      <c r="I55" s="7" t="s">
        <v>358</v>
      </c>
      <c r="J55" s="7"/>
      <c r="K55" s="7"/>
    </row>
    <row r="56" ht="146" customHeight="1" spans="1:11" x14ac:dyDescent="0.25">
      <c r="A56" s="10" t="s">
        <v>359</v>
      </c>
      <c r="B56" s="11">
        <v>46270.46388888889</v>
      </c>
      <c r="C56" s="11">
        <v>46270.46840277778</v>
      </c>
      <c r="D56" s="12">
        <f>C56-B56</f>
        <v>0.0045138888888888885</v>
      </c>
      <c r="E56" s="2" t="s">
        <v>360</v>
      </c>
      <c r="F56" s="2" t="s">
        <v>361</v>
      </c>
      <c r="G56" s="2" t="s">
        <v>362</v>
      </c>
      <c r="H56" s="2" t="s">
        <v>363</v>
      </c>
      <c r="I56" s="2" t="s">
        <v>364</v>
      </c>
      <c r="J56" s="2" t="s">
        <v>31</v>
      </c>
      <c r="K56" s="2" t="s">
        <v>365</v>
      </c>
    </row>
    <row r="57" ht="30" customHeight="1" spans="1:11" x14ac:dyDescent="0.25">
      <c r="A57" s="7" t="s">
        <v>366</v>
      </c>
      <c r="B57" s="8">
        <v>46270.52013888889</v>
      </c>
      <c r="C57" s="8">
        <v>46270.55626157408</v>
      </c>
      <c r="D57" s="9">
        <f>C57-B57</f>
        <v>0.03612268518518519</v>
      </c>
      <c r="E57" s="7" t="s">
        <v>367</v>
      </c>
      <c r="F57" s="7"/>
      <c r="G57" s="7"/>
      <c r="H57" s="7"/>
      <c r="I57" s="7" t="s">
        <v>368</v>
      </c>
      <c r="J57" s="7"/>
      <c r="K57" s="7"/>
    </row>
    <row r="58" ht="258" customHeight="1" spans="1:11" x14ac:dyDescent="0.25">
      <c r="A58" s="10" t="s">
        <v>369</v>
      </c>
      <c r="B58" s="11">
        <v>46270.52013888889</v>
      </c>
      <c r="C58" s="11">
        <v>46270.53611111111</v>
      </c>
      <c r="D58" s="12">
        <f>C58-B58</f>
        <v>0.01597222222222222</v>
      </c>
      <c r="E58" s="2" t="s">
        <v>370</v>
      </c>
      <c r="F58" s="2" t="s">
        <v>371</v>
      </c>
      <c r="G58" s="2" t="s">
        <v>372</v>
      </c>
      <c r="H58" s="2" t="s">
        <v>373</v>
      </c>
      <c r="I58" s="2" t="s">
        <v>374</v>
      </c>
      <c r="J58" s="2" t="s">
        <v>31</v>
      </c>
      <c r="K58" s="2" t="s">
        <v>375</v>
      </c>
    </row>
    <row r="59" ht="118" customHeight="1" spans="1:11" x14ac:dyDescent="0.25">
      <c r="A59" s="10" t="s">
        <v>376</v>
      </c>
      <c r="B59" s="11">
        <v>46270.5375</v>
      </c>
      <c r="C59" s="11">
        <v>46270.54166666667</v>
      </c>
      <c r="D59" s="12">
        <f>C59-B59</f>
        <v>0.004166666666666667</v>
      </c>
      <c r="E59" s="2" t="s">
        <v>377</v>
      </c>
      <c r="F59" s="2" t="s">
        <v>378</v>
      </c>
      <c r="G59" s="2" t="s">
        <v>379</v>
      </c>
      <c r="H59" s="2" t="s">
        <v>380</v>
      </c>
      <c r="I59" s="2" t="s">
        <v>381</v>
      </c>
      <c r="J59" s="2" t="s">
        <v>31</v>
      </c>
      <c r="K59" s="2" t="s">
        <v>382</v>
      </c>
    </row>
    <row r="60" ht="230" customHeight="1" spans="1:11" x14ac:dyDescent="0.25">
      <c r="A60" s="10" t="s">
        <v>383</v>
      </c>
      <c r="B60" s="11">
        <v>46270.54236111111</v>
      </c>
      <c r="C60" s="11">
        <v>46270.54791666666</v>
      </c>
      <c r="D60" s="12">
        <f>C60-B60</f>
        <v>0.005555555555555556</v>
      </c>
      <c r="E60" s="2" t="s">
        <v>384</v>
      </c>
      <c r="F60" s="2" t="s">
        <v>385</v>
      </c>
      <c r="G60" s="2" t="s">
        <v>386</v>
      </c>
      <c r="H60" s="2" t="s">
        <v>387</v>
      </c>
      <c r="I60" s="2" t="s">
        <v>388</v>
      </c>
      <c r="J60" s="2" t="s">
        <v>31</v>
      </c>
      <c r="K60" s="2" t="s">
        <v>389</v>
      </c>
    </row>
    <row r="61" ht="244" customHeight="1" spans="1:11" x14ac:dyDescent="0.25">
      <c r="A61" s="10" t="s">
        <v>390</v>
      </c>
      <c r="B61" s="11">
        <v>46270.54791666666</v>
      </c>
      <c r="C61" s="11">
        <v>46270.55626157408</v>
      </c>
      <c r="D61" s="12">
        <f>C61-B61</f>
        <v>0.008344907407407407</v>
      </c>
      <c r="E61" s="2" t="s">
        <v>384</v>
      </c>
      <c r="F61" s="2" t="s">
        <v>391</v>
      </c>
      <c r="G61" s="2" t="s">
        <v>392</v>
      </c>
      <c r="H61" s="2" t="s">
        <v>393</v>
      </c>
      <c r="I61" s="2" t="s">
        <v>394</v>
      </c>
      <c r="J61" s="2" t="s">
        <v>31</v>
      </c>
      <c r="K61" s="2" t="s">
        <v>395</v>
      </c>
    </row>
  </sheetData>
  <autoFilter ref="A1:K61"/>
  <mergeCells count="12">
    <mergeCell ref="A2:K2"/>
    <mergeCell ref="E3:H3"/>
    <mergeCell ref="E14:H14"/>
    <mergeCell ref="E19:H19"/>
    <mergeCell ref="E22:H22"/>
    <mergeCell ref="E26:H26"/>
    <mergeCell ref="E37:H37"/>
    <mergeCell ref="E42:H42"/>
    <mergeCell ref="A47:K47"/>
    <mergeCell ref="E53:H53"/>
    <mergeCell ref="E55:H55"/>
    <mergeCell ref="E57:H57"/>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workbookViewId="0" showGridLines="0">
      <pane ySplit="1" topLeftCell="A2" activePane="bottomLeft" state="frozen"/>
      <selection pane="bottomLeft"/>
    </sheetView>
  </sheetViews>
  <sheetFormatPr defaultRowHeight="15" outlineLevelRow="0" outlineLevelCol="0" x14ac:dyDescent="55"/>
  <cols>
    <col min="2" max="2" width="30" customWidth="1"/>
    <col min="3" max="3" width="62" customWidth="1"/>
    <col min="4" max="4" width="52" customWidth="1"/>
  </cols>
  <sheetData>
    <row r="1" ht="24" customHeight="1" spans="1:4" x14ac:dyDescent="0.25">
      <c r="A1" s="5" t="s">
        <v>40</v>
      </c>
      <c r="B1" s="5" t="s">
        <v>396</v>
      </c>
      <c r="C1" s="5" t="s">
        <v>397</v>
      </c>
      <c r="D1" s="5" t="s">
        <v>398</v>
      </c>
    </row>
    <row r="2" ht="52" customHeight="1" spans="1:4" x14ac:dyDescent="0.25">
      <c r="A2" s="10" t="s">
        <v>137</v>
      </c>
      <c r="B2" s="2" t="s">
        <v>399</v>
      </c>
      <c r="C2" s="2" t="s">
        <v>400</v>
      </c>
      <c r="D2" s="13" t="s">
        <v>401</v>
      </c>
    </row>
    <row r="3" ht="66" customHeight="1" spans="1:4" x14ac:dyDescent="0.25">
      <c r="A3" s="10" t="s">
        <v>402</v>
      </c>
      <c r="B3" s="2" t="s">
        <v>403</v>
      </c>
      <c r="C3" s="2" t="s">
        <v>404</v>
      </c>
      <c r="D3" s="13" t="s">
        <v>405</v>
      </c>
    </row>
    <row r="4" ht="66" customHeight="1" spans="1:4" x14ac:dyDescent="0.25">
      <c r="A4" s="10" t="s">
        <v>64</v>
      </c>
      <c r="B4" s="2" t="s">
        <v>406</v>
      </c>
      <c r="C4" s="2" t="s">
        <v>407</v>
      </c>
      <c r="D4" s="13" t="s">
        <v>408</v>
      </c>
    </row>
    <row r="5" ht="52" customHeight="1" spans="1:4" x14ac:dyDescent="0.25">
      <c r="A5" s="10" t="s">
        <v>124</v>
      </c>
      <c r="B5" s="2" t="s">
        <v>409</v>
      </c>
      <c r="C5" s="2" t="s">
        <v>410</v>
      </c>
      <c r="D5" s="13" t="s">
        <v>411</v>
      </c>
    </row>
    <row r="6" ht="52" customHeight="1" spans="1:4" x14ac:dyDescent="0.25">
      <c r="A6" s="10" t="s">
        <v>108</v>
      </c>
      <c r="B6" s="2" t="s">
        <v>412</v>
      </c>
      <c r="C6" s="2" t="s">
        <v>413</v>
      </c>
      <c r="D6" s="13" t="s">
        <v>414</v>
      </c>
    </row>
    <row r="7" ht="80" customHeight="1" spans="1:4" x14ac:dyDescent="0.25">
      <c r="A7" s="10" t="s">
        <v>176</v>
      </c>
      <c r="B7" s="2" t="s">
        <v>415</v>
      </c>
      <c r="C7" s="2" t="s">
        <v>416</v>
      </c>
      <c r="D7" s="13" t="s">
        <v>417</v>
      </c>
    </row>
    <row r="8" ht="66" customHeight="1" spans="1:4" x14ac:dyDescent="0.25">
      <c r="A8" s="10" t="s">
        <v>176</v>
      </c>
      <c r="B8" s="2" t="s">
        <v>418</v>
      </c>
      <c r="C8" s="2" t="s">
        <v>419</v>
      </c>
      <c r="D8" s="13" t="s">
        <v>420</v>
      </c>
    </row>
    <row r="9" ht="66" customHeight="1" spans="1:4" x14ac:dyDescent="0.25">
      <c r="A9" s="10" t="s">
        <v>421</v>
      </c>
      <c r="B9" s="2" t="s">
        <v>422</v>
      </c>
      <c r="C9" s="2" t="s">
        <v>423</v>
      </c>
      <c r="D9" s="13" t="s">
        <v>424</v>
      </c>
    </row>
    <row r="10" ht="80" customHeight="1" spans="1:4" x14ac:dyDescent="0.25">
      <c r="A10" s="10" t="s">
        <v>251</v>
      </c>
      <c r="B10" s="2" t="s">
        <v>425</v>
      </c>
      <c r="C10" s="2" t="s">
        <v>426</v>
      </c>
      <c r="D10" s="13" t="s">
        <v>427</v>
      </c>
    </row>
    <row r="11" ht="66" customHeight="1" spans="1:4" x14ac:dyDescent="0.25">
      <c r="A11" s="10" t="s">
        <v>199</v>
      </c>
      <c r="B11" s="2" t="s">
        <v>428</v>
      </c>
      <c r="C11" s="2" t="s">
        <v>429</v>
      </c>
      <c r="D11" s="13" t="s">
        <v>430</v>
      </c>
    </row>
    <row r="12" ht="66" customHeight="1" spans="1:4" x14ac:dyDescent="0.25">
      <c r="A12" s="10" t="s">
        <v>199</v>
      </c>
      <c r="B12" s="2" t="s">
        <v>431</v>
      </c>
      <c r="C12" s="2" t="s">
        <v>432</v>
      </c>
      <c r="D12" s="13" t="s">
        <v>433</v>
      </c>
    </row>
    <row r="13" ht="52" customHeight="1" spans="1:4" x14ac:dyDescent="0.25">
      <c r="A13" s="10" t="s">
        <v>199</v>
      </c>
      <c r="B13" s="2" t="s">
        <v>434</v>
      </c>
      <c r="C13" s="2" t="s">
        <v>435</v>
      </c>
      <c r="D13" s="13" t="s">
        <v>436</v>
      </c>
    </row>
    <row r="14" ht="52" customHeight="1" spans="1:4" x14ac:dyDescent="0.25">
      <c r="A14" s="10" t="s">
        <v>437</v>
      </c>
      <c r="B14" s="2" t="s">
        <v>438</v>
      </c>
      <c r="C14" s="2" t="s">
        <v>439</v>
      </c>
      <c r="D14" s="13" t="s">
        <v>440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workbookViewId="0" showGridLines="0">
      <pane ySplit="2" topLeftCell="A3" activePane="bottomLeft" state="frozen"/>
      <selection pane="bottomLeft"/>
    </sheetView>
  </sheetViews>
  <sheetFormatPr defaultRowHeight="15" outlineLevelRow="0" outlineLevelCol="0" x14ac:dyDescent="55"/>
  <cols>
    <col min="1" max="1" width="7" customWidth="1"/>
    <col min="2" max="2" width="10" customWidth="1"/>
    <col min="3" max="3" width="34" customWidth="1"/>
    <col min="4" max="5" width="56" customWidth="1"/>
    <col min="6" max="6" width="22" customWidth="1"/>
  </cols>
  <sheetData>
    <row r="1" ht="20" customHeight="1" spans="1:6" x14ac:dyDescent="0.25">
      <c r="A1" s="14" t="s">
        <v>441</v>
      </c>
      <c r="B1" s="14"/>
      <c r="C1" s="14"/>
      <c r="D1" s="14"/>
      <c r="E1" s="14"/>
      <c r="F1" s="14"/>
    </row>
    <row r="2" ht="24" customHeight="1" spans="1:6" x14ac:dyDescent="0.25">
      <c r="A2" s="5" t="s">
        <v>40</v>
      </c>
      <c r="B2" s="5" t="s">
        <v>442</v>
      </c>
      <c r="C2" s="5" t="s">
        <v>443</v>
      </c>
      <c r="D2" s="5" t="s">
        <v>444</v>
      </c>
      <c r="E2" s="5" t="s">
        <v>445</v>
      </c>
      <c r="F2" s="5" t="s">
        <v>446</v>
      </c>
    </row>
    <row r="3" ht="78" customHeight="1" spans="1:6" x14ac:dyDescent="0.25">
      <c r="A3" s="10" t="s">
        <v>447</v>
      </c>
      <c r="B3" s="2" t="s">
        <v>448</v>
      </c>
      <c r="C3" s="2" t="s">
        <v>449</v>
      </c>
      <c r="D3" s="2" t="s">
        <v>450</v>
      </c>
      <c r="E3" s="2" t="s">
        <v>451</v>
      </c>
      <c r="F3" s="13" t="s">
        <v>452</v>
      </c>
    </row>
    <row r="4" ht="64" customHeight="1" spans="1:6" x14ac:dyDescent="0.25">
      <c r="A4" s="10" t="s">
        <v>453</v>
      </c>
      <c r="B4" s="2" t="s">
        <v>218</v>
      </c>
      <c r="C4" s="2" t="s">
        <v>454</v>
      </c>
      <c r="D4" s="2" t="s">
        <v>455</v>
      </c>
      <c r="E4" s="2" t="s">
        <v>456</v>
      </c>
      <c r="F4" s="13" t="s">
        <v>452</v>
      </c>
    </row>
    <row r="5" ht="64" customHeight="1" spans="1:6" x14ac:dyDescent="0.25">
      <c r="A5" s="10" t="s">
        <v>457</v>
      </c>
      <c r="B5" s="2" t="s">
        <v>218</v>
      </c>
      <c r="C5" s="2" t="s">
        <v>458</v>
      </c>
      <c r="D5" s="2" t="s">
        <v>459</v>
      </c>
      <c r="E5" s="2" t="s">
        <v>460</v>
      </c>
      <c r="F5" s="13" t="s">
        <v>452</v>
      </c>
    </row>
    <row r="6" ht="64" customHeight="1" spans="1:6" x14ac:dyDescent="0.25">
      <c r="A6" s="10" t="s">
        <v>461</v>
      </c>
      <c r="B6" s="2" t="s">
        <v>199</v>
      </c>
      <c r="C6" s="2" t="s">
        <v>462</v>
      </c>
      <c r="D6" s="2" t="s">
        <v>463</v>
      </c>
      <c r="E6" s="2" t="s">
        <v>464</v>
      </c>
      <c r="F6" s="13" t="s">
        <v>452</v>
      </c>
    </row>
    <row r="7" ht="50" customHeight="1" spans="1:6" x14ac:dyDescent="0.25">
      <c r="A7" s="10" t="s">
        <v>465</v>
      </c>
      <c r="B7" s="2" t="s">
        <v>206</v>
      </c>
      <c r="C7" s="2" t="s">
        <v>466</v>
      </c>
      <c r="D7" s="2" t="s">
        <v>467</v>
      </c>
      <c r="E7" s="2" t="s">
        <v>468</v>
      </c>
      <c r="F7" s="13" t="s">
        <v>452</v>
      </c>
    </row>
    <row r="8" ht="92" customHeight="1" spans="1:6" x14ac:dyDescent="0.25">
      <c r="A8" s="10" t="s">
        <v>469</v>
      </c>
      <c r="B8" s="2" t="s">
        <v>261</v>
      </c>
      <c r="C8" s="2" t="s">
        <v>470</v>
      </c>
      <c r="D8" s="2" t="s">
        <v>471</v>
      </c>
      <c r="E8" s="2" t="s">
        <v>472</v>
      </c>
      <c r="F8" s="13" t="s">
        <v>452</v>
      </c>
    </row>
    <row r="9" ht="64" customHeight="1" spans="1:6" x14ac:dyDescent="0.25">
      <c r="A9" s="10" t="s">
        <v>473</v>
      </c>
      <c r="B9" s="2" t="s">
        <v>474</v>
      </c>
      <c r="C9" s="2" t="s">
        <v>475</v>
      </c>
      <c r="D9" s="2" t="s">
        <v>476</v>
      </c>
      <c r="E9" s="2" t="s">
        <v>477</v>
      </c>
      <c r="F9" s="13" t="s">
        <v>452</v>
      </c>
    </row>
    <row r="10" ht="78" customHeight="1" spans="1:6" x14ac:dyDescent="0.25">
      <c r="A10" s="10" t="s">
        <v>478</v>
      </c>
      <c r="B10" s="2" t="s">
        <v>479</v>
      </c>
      <c r="C10" s="2" t="s">
        <v>480</v>
      </c>
      <c r="D10" s="2" t="s">
        <v>481</v>
      </c>
      <c r="E10" s="2" t="s">
        <v>482</v>
      </c>
      <c r="F10" s="13" t="s">
        <v>452</v>
      </c>
    </row>
  </sheetData>
  <mergeCells count="1">
    <mergeCell ref="A1:F1"/>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2"/>
  <sheetFormatPr defaultRowHeight="15" outlineLevelRow="0" outlineLevelCol="0" x14ac:dyDescent="55"/>
  <cols>
    <col min="1" max="1" width="7" customWidth="1"/>
    <col min="2" max="3" width="17" customWidth="1"/>
    <col min="4" max="4" width="11" customWidth="1"/>
    <col min="5" max="5" width="24" customWidth="1"/>
    <col min="6" max="6" width="28" customWidth="1"/>
    <col min="7" max="8" width="42" customWidth="1"/>
    <col min="9" max="9" width="46" customWidth="1"/>
    <col min="10" max="10" width="11" customWidth="1"/>
    <col min="11" max="11" width="36" customWidth="1"/>
  </cols>
  <sheetData>
    <row r="1" ht="24" customHeight="1" spans="1:11" x14ac:dyDescent="0.25">
      <c r="A1" s="5" t="s">
        <v>40</v>
      </c>
      <c r="B1" s="5" t="s">
        <v>41</v>
      </c>
      <c r="C1" s="5" t="s">
        <v>42</v>
      </c>
      <c r="D1" s="5" t="s">
        <v>43</v>
      </c>
      <c r="E1" s="5" t="s">
        <v>44</v>
      </c>
      <c r="F1" s="5" t="s">
        <v>45</v>
      </c>
      <c r="G1" s="5" t="s">
        <v>46</v>
      </c>
      <c r="H1" s="5" t="s">
        <v>47</v>
      </c>
      <c r="I1" s="5" t="s">
        <v>48</v>
      </c>
      <c r="J1" s="5" t="s">
        <v>30</v>
      </c>
      <c r="K1" s="5" t="s">
        <v>49</v>
      </c>
    </row>
    <row r="2" ht="26" customHeight="1" spans="1:11" x14ac:dyDescent="0.25">
      <c r="A2" s="15" t="s">
        <v>50</v>
      </c>
      <c r="B2" s="15" t="s">
        <v>50</v>
      </c>
      <c r="C2" s="15" t="s">
        <v>50</v>
      </c>
      <c r="D2" s="15" t="s">
        <v>50</v>
      </c>
      <c r="E2" s="15" t="s">
        <v>50</v>
      </c>
      <c r="F2" s="15" t="s">
        <v>50</v>
      </c>
      <c r="G2" s="15" t="s">
        <v>50</v>
      </c>
      <c r="H2" s="15" t="s">
        <v>50</v>
      </c>
      <c r="I2" s="15" t="s">
        <v>50</v>
      </c>
      <c r="J2" s="15" t="s">
        <v>50</v>
      </c>
      <c r="K2" s="15" t="s">
        <v>50</v>
      </c>
    </row>
    <row r="3" ht="30" customHeight="1" spans="1:11" x14ac:dyDescent="0.25">
      <c r="A3" s="7" t="s">
        <v>51</v>
      </c>
      <c r="B3" s="8">
        <v>46269.74895833334</v>
      </c>
      <c r="C3" s="8">
        <v>46269.7516087963</v>
      </c>
      <c r="D3" s="9">
        <f>C3-B3</f>
        <v>0.0026504629640839994</v>
      </c>
      <c r="E3" s="7" t="s">
        <v>322</v>
      </c>
      <c r="F3" s="7" t="s">
        <v>322</v>
      </c>
      <c r="G3" s="7" t="s">
        <v>322</v>
      </c>
      <c r="H3" s="7" t="s">
        <v>322</v>
      </c>
      <c r="I3" s="7" t="s">
        <v>483</v>
      </c>
      <c r="J3" s="7"/>
      <c r="K3" s="7"/>
    </row>
    <row r="4" ht="62" customHeight="1" spans="1:11" x14ac:dyDescent="0.25">
      <c r="A4" s="10" t="s">
        <v>54</v>
      </c>
      <c r="B4" s="11">
        <v>46269.74895833334</v>
      </c>
      <c r="C4" s="11">
        <v>46269.7516087963</v>
      </c>
      <c r="D4" s="12">
        <f>C4-B4</f>
        <v>0.0026504629640839994</v>
      </c>
      <c r="E4" s="2" t="s">
        <v>159</v>
      </c>
      <c r="F4" s="2" t="s">
        <v>484</v>
      </c>
      <c r="G4" s="2" t="s">
        <v>485</v>
      </c>
      <c r="H4" s="2" t="s">
        <v>486</v>
      </c>
      <c r="I4" s="2" t="s">
        <v>487</v>
      </c>
      <c r="J4" s="2" t="s">
        <v>31</v>
      </c>
      <c r="K4" s="2" t="s">
        <v>488</v>
      </c>
    </row>
    <row r="5" ht="30" customHeight="1" spans="1:11" x14ac:dyDescent="0.25">
      <c r="A5" s="7" t="s">
        <v>121</v>
      </c>
      <c r="B5" s="8">
        <v>46269.768900462965</v>
      </c>
      <c r="C5" s="8">
        <v>46269.78631944444</v>
      </c>
      <c r="D5" s="9">
        <f>C5-B5</f>
        <v>0.017418981482478557</v>
      </c>
      <c r="E5" s="7" t="s">
        <v>489</v>
      </c>
      <c r="F5" s="7" t="s">
        <v>489</v>
      </c>
      <c r="G5" s="7" t="s">
        <v>489</v>
      </c>
      <c r="H5" s="7" t="s">
        <v>489</v>
      </c>
      <c r="I5" s="7" t="s">
        <v>490</v>
      </c>
      <c r="J5" s="7"/>
      <c r="K5" s="7"/>
    </row>
    <row r="6" ht="90" customHeight="1" spans="1:11" x14ac:dyDescent="0.25">
      <c r="A6" s="10" t="s">
        <v>124</v>
      </c>
      <c r="B6" s="11">
        <v>46269.772777777776</v>
      </c>
      <c r="C6" s="11">
        <v>46269.77481481481</v>
      </c>
      <c r="D6" s="12">
        <f>C6-B6</f>
        <v>0.0020370370366435964</v>
      </c>
      <c r="E6" s="2" t="s">
        <v>491</v>
      </c>
      <c r="F6" s="2" t="s">
        <v>492</v>
      </c>
      <c r="G6" s="2" t="s">
        <v>493</v>
      </c>
      <c r="H6" s="2" t="s">
        <v>494</v>
      </c>
      <c r="I6" s="2" t="s">
        <v>495</v>
      </c>
      <c r="J6" s="2" t="s">
        <v>31</v>
      </c>
      <c r="K6" s="2" t="s">
        <v>496</v>
      </c>
    </row>
    <row r="7" ht="118" customHeight="1" spans="1:11" x14ac:dyDescent="0.25">
      <c r="A7" s="10" t="s">
        <v>131</v>
      </c>
      <c r="B7" s="11">
        <v>46269.771643518514</v>
      </c>
      <c r="C7" s="11">
        <v>46269.77429398148</v>
      </c>
      <c r="D7" s="12">
        <f>C7-B7</f>
        <v>0.0026504629640839994</v>
      </c>
      <c r="E7" s="2" t="s">
        <v>497</v>
      </c>
      <c r="F7" s="2" t="s">
        <v>498</v>
      </c>
      <c r="G7" s="2" t="s">
        <v>499</v>
      </c>
      <c r="H7" s="2" t="s">
        <v>500</v>
      </c>
      <c r="I7" s="2" t="s">
        <v>501</v>
      </c>
      <c r="J7" s="2" t="s">
        <v>31</v>
      </c>
      <c r="K7" s="2" t="s">
        <v>502</v>
      </c>
    </row>
    <row r="8" ht="76" customHeight="1" spans="1:11" x14ac:dyDescent="0.25">
      <c r="A8" s="10" t="s">
        <v>137</v>
      </c>
      <c r="B8" s="11">
        <v>46269.77491898148</v>
      </c>
      <c r="C8" s="11">
        <v>46269.77502314815</v>
      </c>
      <c r="D8" s="12">
        <f>C8-B8</f>
        <v>0.00010416666555101983</v>
      </c>
      <c r="E8" s="2" t="s">
        <v>503</v>
      </c>
      <c r="F8" s="2" t="s">
        <v>504</v>
      </c>
      <c r="G8" s="2" t="s">
        <v>505</v>
      </c>
      <c r="H8" s="2" t="s">
        <v>506</v>
      </c>
      <c r="I8" s="2" t="s">
        <v>507</v>
      </c>
      <c r="J8" s="2" t="s">
        <v>31</v>
      </c>
      <c r="K8" s="2" t="s">
        <v>508</v>
      </c>
    </row>
    <row r="9" ht="76" customHeight="1" spans="1:11" x14ac:dyDescent="0.25">
      <c r="A9" s="10" t="s">
        <v>144</v>
      </c>
      <c r="B9" s="11">
        <v>46269.77452546296</v>
      </c>
      <c r="C9" s="11">
        <v>46269.77481481481</v>
      </c>
      <c r="D9" s="12">
        <f>C9-B9</f>
        <v>0.00028935185036971234</v>
      </c>
      <c r="E9" s="2" t="s">
        <v>509</v>
      </c>
      <c r="F9" s="2" t="s">
        <v>510</v>
      </c>
      <c r="G9" s="2" t="s">
        <v>511</v>
      </c>
      <c r="H9" s="2" t="s">
        <v>512</v>
      </c>
      <c r="I9" s="2" t="s">
        <v>513</v>
      </c>
      <c r="J9" s="2" t="s">
        <v>31</v>
      </c>
      <c r="K9" s="2" t="s">
        <v>514</v>
      </c>
    </row>
    <row r="10" ht="76" customHeight="1" spans="1:11" x14ac:dyDescent="0.25">
      <c r="A10" s="10" t="s">
        <v>515</v>
      </c>
      <c r="B10" s="11">
        <v>46269.77627314815</v>
      </c>
      <c r="C10" s="11">
        <v>46269.776446759264</v>
      </c>
      <c r="D10" s="12">
        <f>C10-B10</f>
        <v>0.00017361111167701893</v>
      </c>
      <c r="E10" s="2" t="s">
        <v>115</v>
      </c>
      <c r="F10" s="2" t="s">
        <v>516</v>
      </c>
      <c r="G10" s="2" t="s">
        <v>517</v>
      </c>
      <c r="H10" s="2" t="s">
        <v>518</v>
      </c>
      <c r="I10" s="2" t="s">
        <v>519</v>
      </c>
      <c r="J10" s="2" t="s">
        <v>31</v>
      </c>
      <c r="K10" s="2" t="s">
        <v>520</v>
      </c>
    </row>
    <row r="11" ht="104" customHeight="1" spans="1:11" x14ac:dyDescent="0.25">
      <c r="A11" s="10" t="s">
        <v>521</v>
      </c>
      <c r="B11" s="11">
        <v>46269.78513888889</v>
      </c>
      <c r="C11" s="11">
        <v>46269.78569444444</v>
      </c>
      <c r="D11" s="12">
        <f>C11-B11</f>
        <v>0.0005555555544560775</v>
      </c>
      <c r="E11" s="2" t="s">
        <v>522</v>
      </c>
      <c r="F11" s="2" t="s">
        <v>523</v>
      </c>
      <c r="G11" s="2" t="s">
        <v>524</v>
      </c>
      <c r="H11" s="2" t="s">
        <v>525</v>
      </c>
      <c r="I11" s="2" t="s">
        <v>526</v>
      </c>
      <c r="J11" s="2" t="s">
        <v>31</v>
      </c>
      <c r="K11" s="2" t="s">
        <v>514</v>
      </c>
    </row>
    <row r="12" ht="90" customHeight="1" spans="1:11" x14ac:dyDescent="0.25">
      <c r="A12" s="10" t="s">
        <v>527</v>
      </c>
      <c r="B12" s="11">
        <v>46269.784733796296</v>
      </c>
      <c r="C12" s="11">
        <v>46269.78569444444</v>
      </c>
      <c r="D12" s="12">
        <f>C12-B12</f>
        <v>0.0009606481471564621</v>
      </c>
      <c r="E12" s="2" t="s">
        <v>528</v>
      </c>
      <c r="F12" s="2" t="s">
        <v>529</v>
      </c>
      <c r="G12" s="2" t="s">
        <v>530</v>
      </c>
      <c r="H12" s="2" t="s">
        <v>531</v>
      </c>
      <c r="I12" s="2" t="s">
        <v>532</v>
      </c>
      <c r="J12" s="2" t="s">
        <v>31</v>
      </c>
      <c r="K12" s="2" t="s">
        <v>533</v>
      </c>
    </row>
    <row r="13" ht="62" customHeight="1" spans="1:11" x14ac:dyDescent="0.25">
      <c r="A13" s="10" t="s">
        <v>534</v>
      </c>
      <c r="B13" s="11">
        <v>46269.78622685185</v>
      </c>
      <c r="C13" s="11">
        <v>46269.78631944444</v>
      </c>
      <c r="D13" s="12">
        <f>C13-B13</f>
        <v>0.00009259259240934625</v>
      </c>
      <c r="E13" s="2" t="s">
        <v>115</v>
      </c>
      <c r="F13" s="2" t="s">
        <v>535</v>
      </c>
      <c r="G13" s="2" t="s">
        <v>536</v>
      </c>
      <c r="H13" s="2" t="s">
        <v>537</v>
      </c>
      <c r="I13" s="2" t="s">
        <v>538</v>
      </c>
      <c r="J13" s="2" t="s">
        <v>31</v>
      </c>
      <c r="K13" s="2" t="s">
        <v>120</v>
      </c>
    </row>
    <row r="14" ht="30" customHeight="1" spans="1:11" x14ac:dyDescent="0.25">
      <c r="A14" s="7" t="s">
        <v>150</v>
      </c>
      <c r="B14" s="8">
        <v>46269.79640046296</v>
      </c>
      <c r="C14" s="8">
        <v>46269.802939814814</v>
      </c>
      <c r="D14" s="9">
        <f>C14-B14</f>
        <v>0.0065393518525525</v>
      </c>
      <c r="E14" s="7" t="s">
        <v>539</v>
      </c>
      <c r="F14" s="7" t="s">
        <v>539</v>
      </c>
      <c r="G14" s="7" t="s">
        <v>539</v>
      </c>
      <c r="H14" s="7" t="s">
        <v>539</v>
      </c>
      <c r="I14" s="7" t="s">
        <v>540</v>
      </c>
      <c r="J14" s="7"/>
      <c r="K14" s="7"/>
    </row>
    <row r="15" ht="76" customHeight="1" spans="1:11" x14ac:dyDescent="0.25">
      <c r="A15" s="10" t="s">
        <v>153</v>
      </c>
      <c r="B15" s="11">
        <v>46269.79890046296</v>
      </c>
      <c r="C15" s="11">
        <v>46269.799108796295</v>
      </c>
      <c r="D15" s="12">
        <f>C15-B15</f>
        <v>0.00020833333474001847</v>
      </c>
      <c r="E15" s="2" t="s">
        <v>541</v>
      </c>
      <c r="F15" s="2" t="s">
        <v>542</v>
      </c>
      <c r="G15" s="2" t="s">
        <v>543</v>
      </c>
      <c r="H15" s="2" t="s">
        <v>544</v>
      </c>
      <c r="I15" s="2" t="s">
        <v>545</v>
      </c>
      <c r="J15" s="2" t="s">
        <v>31</v>
      </c>
      <c r="K15" s="2" t="s">
        <v>546</v>
      </c>
    </row>
    <row r="16" ht="104" customHeight="1" spans="1:11" x14ac:dyDescent="0.25">
      <c r="A16" s="10" t="s">
        <v>160</v>
      </c>
      <c r="B16" s="11">
        <v>46269.79701388889</v>
      </c>
      <c r="C16" s="11">
        <v>46269.798680555556</v>
      </c>
      <c r="D16" s="12">
        <f>C16-B16</f>
        <v>0.0016666666670062114</v>
      </c>
      <c r="E16" s="2" t="s">
        <v>547</v>
      </c>
      <c r="F16" s="2" t="s">
        <v>548</v>
      </c>
      <c r="G16" s="2" t="s">
        <v>549</v>
      </c>
      <c r="H16" s="2" t="s">
        <v>550</v>
      </c>
      <c r="I16" s="2" t="s">
        <v>551</v>
      </c>
      <c r="J16" s="2" t="s">
        <v>31</v>
      </c>
      <c r="K16" s="2" t="s">
        <v>552</v>
      </c>
    </row>
    <row r="17" ht="62" customHeight="1" spans="1:11" x14ac:dyDescent="0.25">
      <c r="A17" s="10" t="s">
        <v>321</v>
      </c>
      <c r="B17" s="11">
        <v>46269.79986111111</v>
      </c>
      <c r="C17" s="11">
        <v>46269.80082175926</v>
      </c>
      <c r="D17" s="12">
        <f>C17-B17</f>
        <v>0.0009606481471564621</v>
      </c>
      <c r="E17" s="2" t="s">
        <v>115</v>
      </c>
      <c r="F17" s="2" t="s">
        <v>553</v>
      </c>
      <c r="G17" s="2" t="s">
        <v>554</v>
      </c>
      <c r="H17" s="2" t="s">
        <v>555</v>
      </c>
      <c r="I17" s="2" t="s">
        <v>556</v>
      </c>
      <c r="J17" s="2" t="s">
        <v>31</v>
      </c>
      <c r="K17" s="2" t="s">
        <v>120</v>
      </c>
    </row>
    <row r="18" ht="30" customHeight="1" spans="1:11" x14ac:dyDescent="0.25">
      <c r="A18" s="7" t="s">
        <v>166</v>
      </c>
      <c r="B18" s="8">
        <v>46269.817141203705</v>
      </c>
      <c r="C18" s="8">
        <v>46269.83336805555</v>
      </c>
      <c r="D18" s="9">
        <f>C18-B18</f>
        <v>0.01622685185066075</v>
      </c>
      <c r="E18" s="7" t="s">
        <v>557</v>
      </c>
      <c r="F18" s="7" t="s">
        <v>557</v>
      </c>
      <c r="G18" s="7" t="s">
        <v>557</v>
      </c>
      <c r="H18" s="7" t="s">
        <v>557</v>
      </c>
      <c r="I18" s="7" t="s">
        <v>558</v>
      </c>
      <c r="J18" s="7"/>
      <c r="K18" s="7"/>
    </row>
    <row r="19" ht="146" customHeight="1" spans="1:11" x14ac:dyDescent="0.25">
      <c r="A19" s="10" t="s">
        <v>169</v>
      </c>
      <c r="B19" s="11">
        <v>46269.82033564815</v>
      </c>
      <c r="C19" s="11">
        <v>46269.82052083334</v>
      </c>
      <c r="D19" s="12">
        <f>C19-B19</f>
        <v>0.0001851851848186925</v>
      </c>
      <c r="E19" s="2" t="s">
        <v>559</v>
      </c>
      <c r="F19" s="2" t="s">
        <v>560</v>
      </c>
      <c r="G19" s="2" t="s">
        <v>561</v>
      </c>
      <c r="H19" s="2" t="s">
        <v>562</v>
      </c>
      <c r="I19" s="2" t="s">
        <v>563</v>
      </c>
      <c r="J19" s="2" t="s">
        <v>31</v>
      </c>
      <c r="K19" s="2" t="s">
        <v>564</v>
      </c>
    </row>
    <row r="20" ht="76" customHeight="1" spans="1:11" x14ac:dyDescent="0.25">
      <c r="A20" s="10" t="s">
        <v>176</v>
      </c>
      <c r="B20" s="11">
        <v>46269.820243055554</v>
      </c>
      <c r="C20" s="11">
        <v>46269.82179398148</v>
      </c>
      <c r="D20" s="12">
        <f>C20-B20</f>
        <v>0.0015509259246755391</v>
      </c>
      <c r="E20" s="2" t="s">
        <v>565</v>
      </c>
      <c r="F20" s="2" t="s">
        <v>566</v>
      </c>
      <c r="G20" s="2" t="s">
        <v>567</v>
      </c>
      <c r="H20" s="2" t="s">
        <v>568</v>
      </c>
      <c r="I20" s="2" t="s">
        <v>569</v>
      </c>
      <c r="J20" s="2" t="s">
        <v>31</v>
      </c>
      <c r="K20" s="2" t="s">
        <v>570</v>
      </c>
    </row>
    <row r="21" ht="104" customHeight="1" spans="1:11" x14ac:dyDescent="0.25">
      <c r="A21" s="10" t="s">
        <v>183</v>
      </c>
      <c r="B21" s="11">
        <v>46269.82063657408</v>
      </c>
      <c r="C21" s="11">
        <v>46269.82233796296</v>
      </c>
      <c r="D21" s="12">
        <f>C21-B21</f>
        <v>0.001701388890069211</v>
      </c>
      <c r="E21" s="2" t="s">
        <v>571</v>
      </c>
      <c r="F21" s="2" t="s">
        <v>572</v>
      </c>
      <c r="G21" s="2" t="s">
        <v>573</v>
      </c>
      <c r="H21" s="2" t="s">
        <v>574</v>
      </c>
      <c r="I21" s="2" t="s">
        <v>575</v>
      </c>
      <c r="J21" s="2" t="s">
        <v>31</v>
      </c>
      <c r="K21" s="2" t="s">
        <v>576</v>
      </c>
    </row>
    <row r="22" ht="90" customHeight="1" spans="1:11" x14ac:dyDescent="0.25">
      <c r="A22" s="10" t="s">
        <v>577</v>
      </c>
      <c r="B22" s="11">
        <v>46269.82821759259</v>
      </c>
      <c r="C22" s="11">
        <v>46269.82927083333</v>
      </c>
      <c r="D22" s="12">
        <f>C22-B22</f>
        <v>0.0010532407395658083</v>
      </c>
      <c r="E22" s="2" t="s">
        <v>578</v>
      </c>
      <c r="F22" s="2" t="s">
        <v>579</v>
      </c>
      <c r="G22" s="2" t="s">
        <v>580</v>
      </c>
      <c r="H22" s="2" t="s">
        <v>581</v>
      </c>
      <c r="I22" s="2" t="s">
        <v>582</v>
      </c>
      <c r="J22" s="2" t="s">
        <v>31</v>
      </c>
      <c r="K22" s="2" t="s">
        <v>583</v>
      </c>
    </row>
    <row r="23" ht="118" customHeight="1" spans="1:11" x14ac:dyDescent="0.25">
      <c r="A23" s="10" t="s">
        <v>584</v>
      </c>
      <c r="B23" s="11">
        <v>46269.82745370371</v>
      </c>
      <c r="C23" s="11">
        <v>46269.83076388889</v>
      </c>
      <c r="D23" s="12">
        <f>C23-B23</f>
        <v>0.0033101851840910967</v>
      </c>
      <c r="E23" s="2" t="s">
        <v>578</v>
      </c>
      <c r="F23" s="2" t="s">
        <v>585</v>
      </c>
      <c r="G23" s="2" t="s">
        <v>586</v>
      </c>
      <c r="H23" s="2" t="s">
        <v>587</v>
      </c>
      <c r="I23" s="2" t="s">
        <v>588</v>
      </c>
      <c r="J23" s="2" t="s">
        <v>31</v>
      </c>
      <c r="K23" s="2" t="s">
        <v>589</v>
      </c>
    </row>
    <row r="24" ht="76" customHeight="1" spans="1:11" x14ac:dyDescent="0.25">
      <c r="A24" s="10" t="s">
        <v>590</v>
      </c>
      <c r="B24" s="11">
        <v>46269.83311342592</v>
      </c>
      <c r="C24" s="11">
        <v>46269.83336805555</v>
      </c>
      <c r="D24" s="12">
        <f>C24-B24</f>
        <v>0.0002546296309446916</v>
      </c>
      <c r="E24" s="2" t="s">
        <v>115</v>
      </c>
      <c r="F24" s="2" t="s">
        <v>591</v>
      </c>
      <c r="G24" s="2" t="s">
        <v>592</v>
      </c>
      <c r="H24" s="2" t="s">
        <v>593</v>
      </c>
      <c r="I24" s="2" t="s">
        <v>594</v>
      </c>
      <c r="J24" s="2" t="s">
        <v>31</v>
      </c>
      <c r="K24" s="2" t="s">
        <v>120</v>
      </c>
    </row>
    <row r="25" ht="30" customHeight="1" spans="1:11" x14ac:dyDescent="0.25">
      <c r="A25" s="7" t="s">
        <v>189</v>
      </c>
      <c r="B25" s="8">
        <v>46269.84417824074</v>
      </c>
      <c r="C25" s="8">
        <v>46269.87840277777</v>
      </c>
      <c r="D25" s="9">
        <f>C25-B25</f>
        <v>0.03422453703751671</v>
      </c>
      <c r="E25" s="7" t="s">
        <v>595</v>
      </c>
      <c r="F25" s="7" t="s">
        <v>595</v>
      </c>
      <c r="G25" s="7" t="s">
        <v>595</v>
      </c>
      <c r="H25" s="7" t="s">
        <v>595</v>
      </c>
      <c r="I25" s="7" t="s">
        <v>596</v>
      </c>
      <c r="J25" s="7"/>
      <c r="K25" s="7"/>
    </row>
    <row r="26" ht="90" customHeight="1" spans="1:11" x14ac:dyDescent="0.25">
      <c r="A26" s="10" t="s">
        <v>192</v>
      </c>
      <c r="B26" s="11">
        <v>46269.8452662037</v>
      </c>
      <c r="C26" s="11">
        <v>46269.84581018519</v>
      </c>
      <c r="D26" s="12">
        <f>C26-B26</f>
        <v>0.0005439814813144039</v>
      </c>
      <c r="E26" s="2" t="s">
        <v>597</v>
      </c>
      <c r="F26" s="2" t="s">
        <v>598</v>
      </c>
      <c r="G26" s="2" t="s">
        <v>599</v>
      </c>
      <c r="H26" s="2" t="s">
        <v>600</v>
      </c>
      <c r="I26" s="2" t="s">
        <v>601</v>
      </c>
      <c r="J26" s="2" t="s">
        <v>31</v>
      </c>
      <c r="K26" s="2" t="s">
        <v>602</v>
      </c>
    </row>
    <row r="27" ht="132" customHeight="1" spans="1:11" x14ac:dyDescent="0.25">
      <c r="A27" s="10" t="s">
        <v>199</v>
      </c>
      <c r="B27" s="11">
        <v>46269.846296296295</v>
      </c>
      <c r="C27" s="11">
        <v>46269.847233796296</v>
      </c>
      <c r="D27" s="12">
        <f>C27-B27</f>
        <v>0.0009375000008731149</v>
      </c>
      <c r="E27" s="2" t="s">
        <v>603</v>
      </c>
      <c r="F27" s="2" t="s">
        <v>604</v>
      </c>
      <c r="G27" s="2" t="s">
        <v>605</v>
      </c>
      <c r="H27" s="2" t="s">
        <v>606</v>
      </c>
      <c r="I27" s="2" t="s">
        <v>607</v>
      </c>
      <c r="J27" s="2" t="s">
        <v>31</v>
      </c>
      <c r="K27" s="2" t="s">
        <v>608</v>
      </c>
    </row>
    <row r="28" ht="62" customHeight="1" spans="1:11" x14ac:dyDescent="0.25">
      <c r="A28" s="10" t="s">
        <v>206</v>
      </c>
      <c r="B28" s="11">
        <v>46269.84952546297</v>
      </c>
      <c r="C28" s="11">
        <v>46269.85109953704</v>
      </c>
      <c r="D28" s="12">
        <f>C28-B28</f>
        <v>0.001574074074596865</v>
      </c>
      <c r="E28" s="2" t="s">
        <v>609</v>
      </c>
      <c r="F28" s="2" t="s">
        <v>610</v>
      </c>
      <c r="G28" s="2" t="s">
        <v>611</v>
      </c>
      <c r="H28" s="2" t="s">
        <v>612</v>
      </c>
      <c r="I28" s="2" t="s">
        <v>613</v>
      </c>
      <c r="J28" s="2" t="s">
        <v>31</v>
      </c>
      <c r="K28" s="2" t="s">
        <v>614</v>
      </c>
    </row>
    <row r="29" ht="26" customHeight="1" spans="1:11" x14ac:dyDescent="0.25">
      <c r="A29" s="15" t="s">
        <v>313</v>
      </c>
      <c r="B29" s="15" t="s">
        <v>313</v>
      </c>
      <c r="C29" s="15" t="s">
        <v>313</v>
      </c>
      <c r="D29" s="15" t="s">
        <v>313</v>
      </c>
      <c r="E29" s="15" t="s">
        <v>313</v>
      </c>
      <c r="F29" s="15" t="s">
        <v>313</v>
      </c>
      <c r="G29" s="15" t="s">
        <v>313</v>
      </c>
      <c r="H29" s="15" t="s">
        <v>313</v>
      </c>
      <c r="I29" s="15" t="s">
        <v>313</v>
      </c>
      <c r="J29" s="15" t="s">
        <v>313</v>
      </c>
      <c r="K29" s="15" t="s">
        <v>313</v>
      </c>
    </row>
    <row r="30" ht="30" customHeight="1" spans="1:11" x14ac:dyDescent="0.25">
      <c r="A30" s="7" t="s">
        <v>258</v>
      </c>
      <c r="B30" s="8">
        <v>46270.43403935185</v>
      </c>
      <c r="C30" s="8">
        <v>46270.43689814815</v>
      </c>
      <c r="D30" s="9">
        <f>C30-B30</f>
        <v>0.002858796295186039</v>
      </c>
      <c r="E30" s="7" t="s">
        <v>615</v>
      </c>
      <c r="F30" s="7" t="s">
        <v>615</v>
      </c>
      <c r="G30" s="7" t="s">
        <v>615</v>
      </c>
      <c r="H30" s="7" t="s">
        <v>615</v>
      </c>
      <c r="I30" s="7" t="s">
        <v>616</v>
      </c>
      <c r="J30" s="7"/>
      <c r="K30" s="7"/>
    </row>
    <row r="31" ht="90" customHeight="1" spans="1:11" x14ac:dyDescent="0.25">
      <c r="A31" s="10" t="s">
        <v>261</v>
      </c>
      <c r="B31" s="11">
        <v>46270.43403935185</v>
      </c>
      <c r="C31" s="11">
        <v>46270.43689814815</v>
      </c>
      <c r="D31" s="12">
        <f>C31-B31</f>
        <v>0.002858796295186039</v>
      </c>
      <c r="E31" s="2" t="s">
        <v>617</v>
      </c>
      <c r="F31" s="2" t="s">
        <v>618</v>
      </c>
      <c r="G31" s="2" t="s">
        <v>619</v>
      </c>
      <c r="H31" s="2" t="s">
        <v>620</v>
      </c>
      <c r="I31" s="2" t="s">
        <v>621</v>
      </c>
      <c r="J31" s="2" t="s">
        <v>31</v>
      </c>
      <c r="K31" s="2" t="s">
        <v>622</v>
      </c>
    </row>
    <row r="32" ht="76" customHeight="1" spans="1:11" x14ac:dyDescent="0.25">
      <c r="A32" s="10" t="s">
        <v>268</v>
      </c>
      <c r="B32" s="11">
        <v>46270.435266203705</v>
      </c>
      <c r="C32" s="11">
        <v>46270.43689814815</v>
      </c>
      <c r="D32" s="12">
        <f>C32-B32</f>
        <v>0.0016319444439432118</v>
      </c>
      <c r="E32" s="2" t="s">
        <v>623</v>
      </c>
      <c r="F32" s="2" t="s">
        <v>624</v>
      </c>
      <c r="G32" s="2" t="s">
        <v>625</v>
      </c>
      <c r="H32" s="2" t="s">
        <v>626</v>
      </c>
      <c r="I32" s="2" t="s">
        <v>627</v>
      </c>
      <c r="J32" s="2" t="s">
        <v>31</v>
      </c>
      <c r="K32" s="2" t="s">
        <v>628</v>
      </c>
    </row>
    <row r="33" ht="30" customHeight="1" spans="1:11" x14ac:dyDescent="0.25">
      <c r="A33" s="7" t="s">
        <v>285</v>
      </c>
      <c r="B33" s="8">
        <v>46270.44430555556</v>
      </c>
      <c r="C33" s="8">
        <v>46270.45391203703</v>
      </c>
      <c r="D33" s="9">
        <f>C33-B33</f>
        <v>0.009606481482478557</v>
      </c>
      <c r="E33" s="7" t="s">
        <v>629</v>
      </c>
      <c r="F33" s="7" t="s">
        <v>629</v>
      </c>
      <c r="G33" s="7" t="s">
        <v>629</v>
      </c>
      <c r="H33" s="7" t="s">
        <v>629</v>
      </c>
      <c r="I33" s="7" t="s">
        <v>630</v>
      </c>
      <c r="J33" s="7"/>
      <c r="K33" s="7"/>
    </row>
    <row r="34" ht="104" customHeight="1" spans="1:11" x14ac:dyDescent="0.25">
      <c r="A34" s="10" t="s">
        <v>288</v>
      </c>
      <c r="B34" s="11">
        <v>46270.44818287037</v>
      </c>
      <c r="C34" s="11">
        <v>46270.44961805556</v>
      </c>
      <c r="D34" s="12">
        <f>C34-B34</f>
        <v>0.0014351851859828457</v>
      </c>
      <c r="E34" s="2" t="s">
        <v>631</v>
      </c>
      <c r="F34" s="2" t="s">
        <v>632</v>
      </c>
      <c r="G34" s="2" t="s">
        <v>633</v>
      </c>
      <c r="H34" s="2" t="s">
        <v>634</v>
      </c>
      <c r="I34" s="2" t="s">
        <v>635</v>
      </c>
      <c r="J34" s="2" t="s">
        <v>31</v>
      </c>
      <c r="K34" s="2" t="s">
        <v>636</v>
      </c>
    </row>
    <row r="35" ht="76" customHeight="1" spans="1:11" x14ac:dyDescent="0.25">
      <c r="A35" s="10" t="s">
        <v>295</v>
      </c>
      <c r="B35" s="11">
        <v>46270.449108796296</v>
      </c>
      <c r="C35" s="11">
        <v>46270.44961805556</v>
      </c>
      <c r="D35" s="12">
        <f>C35-B35</f>
        <v>0.0005092592582514044</v>
      </c>
      <c r="E35" s="2" t="s">
        <v>637</v>
      </c>
      <c r="F35" s="2" t="s">
        <v>638</v>
      </c>
      <c r="G35" s="2" t="s">
        <v>639</v>
      </c>
      <c r="H35" s="2" t="s">
        <v>640</v>
      </c>
      <c r="I35" s="2" t="s">
        <v>641</v>
      </c>
      <c r="J35" s="2" t="s">
        <v>31</v>
      </c>
      <c r="K35" s="2" t="s">
        <v>642</v>
      </c>
    </row>
    <row r="36" ht="30" customHeight="1" spans="1:11" x14ac:dyDescent="0.25">
      <c r="A36" s="7" t="s">
        <v>346</v>
      </c>
      <c r="B36" s="8">
        <v>46270.46361111111</v>
      </c>
      <c r="C36" s="8">
        <v>46270.47930555556</v>
      </c>
      <c r="D36" s="9">
        <f>C36-B36</f>
        <v>0.015694444446126</v>
      </c>
      <c r="E36" s="7" t="s">
        <v>643</v>
      </c>
      <c r="F36" s="7" t="s">
        <v>643</v>
      </c>
      <c r="G36" s="7" t="s">
        <v>643</v>
      </c>
      <c r="H36" s="7" t="s">
        <v>643</v>
      </c>
      <c r="I36" s="7" t="s">
        <v>644</v>
      </c>
      <c r="J36" s="7"/>
      <c r="K36" s="7"/>
    </row>
    <row r="37" ht="90" customHeight="1" spans="1:11" x14ac:dyDescent="0.25">
      <c r="A37" s="10" t="s">
        <v>349</v>
      </c>
      <c r="B37" s="11">
        <v>46270.465833333335</v>
      </c>
      <c r="C37" s="11">
        <v>46270.46729166667</v>
      </c>
      <c r="D37" s="12">
        <f>C37-B37</f>
        <v>0.0014583333322661929</v>
      </c>
      <c r="E37" s="2" t="s">
        <v>645</v>
      </c>
      <c r="F37" s="2" t="s">
        <v>646</v>
      </c>
      <c r="G37" s="2" t="s">
        <v>647</v>
      </c>
      <c r="H37" s="2" t="s">
        <v>648</v>
      </c>
      <c r="I37" s="2" t="s">
        <v>649</v>
      </c>
      <c r="J37" s="2" t="s">
        <v>31</v>
      </c>
      <c r="K37" s="2" t="s">
        <v>650</v>
      </c>
    </row>
    <row r="38" ht="104" customHeight="1" spans="1:11" x14ac:dyDescent="0.25">
      <c r="A38" s="10" t="s">
        <v>651</v>
      </c>
      <c r="B38" s="11">
        <v>46270.46697916667</v>
      </c>
      <c r="C38" s="11">
        <v>46270.469942129625</v>
      </c>
      <c r="D38" s="12">
        <f>C38-B38</f>
        <v>0.0029629629643750377</v>
      </c>
      <c r="E38" s="2" t="s">
        <v>652</v>
      </c>
      <c r="F38" s="2" t="s">
        <v>653</v>
      </c>
      <c r="G38" s="2" t="s">
        <v>654</v>
      </c>
      <c r="H38" s="2" t="s">
        <v>655</v>
      </c>
      <c r="I38" s="2" t="s">
        <v>656</v>
      </c>
      <c r="J38" s="2" t="s">
        <v>31</v>
      </c>
      <c r="K38" s="2" t="s">
        <v>657</v>
      </c>
    </row>
    <row r="39" ht="76" customHeight="1" spans="1:11" x14ac:dyDescent="0.25">
      <c r="A39" s="10" t="s">
        <v>658</v>
      </c>
      <c r="B39" s="11">
        <v>46270.46810185185</v>
      </c>
      <c r="C39" s="11">
        <v>46270.46877314815</v>
      </c>
      <c r="D39" s="12">
        <f>C39-B39</f>
        <v>0.0006712962967867497</v>
      </c>
      <c r="E39" s="2" t="s">
        <v>659</v>
      </c>
      <c r="F39" s="2" t="s">
        <v>660</v>
      </c>
      <c r="G39" s="2" t="s">
        <v>661</v>
      </c>
      <c r="H39" s="2" t="s">
        <v>662</v>
      </c>
      <c r="I39" s="2" t="s">
        <v>663</v>
      </c>
      <c r="J39" s="2" t="s">
        <v>31</v>
      </c>
      <c r="K39" s="2" t="s">
        <v>664</v>
      </c>
    </row>
    <row r="40" ht="90" customHeight="1" spans="1:11" x14ac:dyDescent="0.25">
      <c r="A40" s="10" t="s">
        <v>665</v>
      </c>
      <c r="B40" s="11">
        <v>46270.466782407406</v>
      </c>
      <c r="C40" s="11">
        <v>46270.46729166667</v>
      </c>
      <c r="D40" s="12">
        <f>C40-B40</f>
        <v>0.0005092592582514044</v>
      </c>
      <c r="E40" s="2" t="s">
        <v>666</v>
      </c>
      <c r="F40" s="2" t="s">
        <v>667</v>
      </c>
      <c r="G40" s="2" t="s">
        <v>668</v>
      </c>
      <c r="H40" s="2" t="s">
        <v>669</v>
      </c>
      <c r="I40" s="2" t="s">
        <v>670</v>
      </c>
      <c r="J40" s="2" t="s">
        <v>31</v>
      </c>
      <c r="K40" s="2" t="s">
        <v>657</v>
      </c>
    </row>
    <row r="41" ht="62" customHeight="1" spans="1:11" x14ac:dyDescent="0.25">
      <c r="A41" s="10" t="s">
        <v>671</v>
      </c>
      <c r="B41" s="11">
        <v>46270.471192129626</v>
      </c>
      <c r="C41" s="11">
        <v>46270.47133101852</v>
      </c>
      <c r="D41" s="12">
        <f>C41-B41</f>
        <v>0.00013888888861401938</v>
      </c>
      <c r="E41" s="2" t="s">
        <v>115</v>
      </c>
      <c r="F41" s="2" t="s">
        <v>672</v>
      </c>
      <c r="G41" s="2" t="s">
        <v>673</v>
      </c>
      <c r="H41" s="2" t="s">
        <v>674</v>
      </c>
      <c r="I41" s="2" t="s">
        <v>675</v>
      </c>
      <c r="J41" s="2" t="s">
        <v>31</v>
      </c>
      <c r="K41" s="2" t="s">
        <v>120</v>
      </c>
    </row>
    <row r="42" ht="132" customHeight="1" spans="1:11" x14ac:dyDescent="0.25">
      <c r="A42" s="10" t="s">
        <v>676</v>
      </c>
      <c r="B42" s="11">
        <v>46270.47395833333</v>
      </c>
      <c r="C42" s="11">
        <v>46270.47930555556</v>
      </c>
      <c r="D42" s="12">
        <f>C42-B42</f>
        <v>0.005347222220734693</v>
      </c>
      <c r="E42" s="2" t="s">
        <v>645</v>
      </c>
      <c r="F42" s="2" t="s">
        <v>677</v>
      </c>
      <c r="G42" s="2" t="s">
        <v>678</v>
      </c>
      <c r="H42" s="2" t="s">
        <v>679</v>
      </c>
      <c r="I42" s="2" t="s">
        <v>680</v>
      </c>
      <c r="J42" s="2" t="s">
        <v>31</v>
      </c>
      <c r="K42" s="2" t="s">
        <v>681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Start here</vt:lpstr>
      <vt:lpstr>Changes</vt:lpstr>
      <vt:lpstr>Open items</vt:lpstr>
      <vt:lpstr>Tests</vt:lpstr>
      <vt:lpstr>Changes (fork)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Cowork</dc:creator>
  <dc:title/>
  <dc:subject/>
  <dc:description/>
  <cp:keywords/>
  <cp:category/>
  <cp:lastModifiedBy>Unknown</cp:lastModifiedBy>
  <dcterms:created xsi:type="dcterms:W3CDTF">2026-09-03T18:30:00Z</dcterms:created>
  <dcterms:modified xsi:type="dcterms:W3CDTF">2026-09-05T07:51:01Z</dcterms:modified>
</cp:coreProperties>
</file>