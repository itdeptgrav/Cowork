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9" name="Summary" state="visible" r:id="rId5"/>
    <sheet sheetId="2" name="Overview" state="visible" r:id="rId6"/>
    <sheet sheetId="3" name="Tasks" state="visible" r:id="rId7"/>
    <sheet sheetId="4" name="Documents" state="visible" r:id="rId8"/>
    <sheet sheetId="5" name="Sheets" state="visible" r:id="rId9"/>
    <sheet sheetId="6" name="Everywhere" state="visible" r:id="rId10"/>
    <sheet sheetId="7" name="Regression" state="visible" r:id="rId11"/>
    <sheet sheetId="8" name="Open items" state="visible" r:id="rId12"/>
  </sheets>
  <definedNames>
    <definedName name="_xlnm.Print_Titles" localSheetId="2">'Overview'!$3:$3</definedName>
    <definedName name="_xlnm.Print_Titles" localSheetId="3">'Tasks'!$3:$3</definedName>
    <definedName name="_xlnm.Print_Titles" localSheetId="4">'Documents'!$3:$3</definedName>
    <definedName name="_xlnm.Print_Titles" localSheetId="5">'Sheets'!$3:$3</definedName>
    <definedName name="_xlnm.Print_Titles" localSheetId="6">'Everywhere'!$3:$3</definedName>
    <definedName name="_xlnm.Print_Titles" localSheetId="7">'Regression'!$3:$3</definedName>
    <definedName name="_xlnm.Print_Titles" localSheetId="8">'Open items'!$3:$3</definedName>
  </definedNames>
  <calcPr calcId="171027"/>
</workbook>
</file>

<file path=xl/sharedStrings.xml><?xml version="1.0" encoding="utf-8"?>
<sst xmlns="http://schemas.openxmlformats.org/spreadsheetml/2006/main" count="1563" uniqueCount="738">
  <si>
    <t>Cowork — test checklist for the 17 August 2026 change set</t>
  </si>
  <si>
    <t>Every change recorded in “Cowork changes 17 Aug 2026.xlsx”, turned into a test you can run and sign off.</t>
  </si>
  <si>
    <t>What this pack is</t>
  </si>
  <si>
    <t>Scope</t>
  </si>
  <si>
    <t>One test case for every change listed on the Overview, Tasks, Documents, Sheets and Everywhere tabs of the change log, plus a Regression tab for the build-wide checks and an Open items tab for the eight decisions still outstanding.</t>
  </si>
  <si>
    <t>Tabs</t>
  </si>
  <si>
    <t>Overview · Tasks · Documents · Sheets · Everywhere · Regression — test cases. Open items — decisions to make. Summary — live pass/fail counts, updates itself as you fill in the Status column.</t>
  </si>
  <si>
    <t>How to use it</t>
  </si>
  <si>
    <t>Work down one tab at a time. Read the pre-condition, follow the steps exactly, compare against the expected result, then fill in Actual result, Status, Tested by and Date. Anything that is not a Pass needs a line in Notes / defect ref.</t>
  </si>
  <si>
    <t>Before you start</t>
  </si>
  <si>
    <t>Build under test</t>
  </si>
  <si>
    <t>Record the commit SHA here →</t>
  </si>
  <si>
    <t>Environment</t>
  </si>
  <si>
    <t>Record the URL / environment here →</t>
  </si>
  <si>
    <t>Browser + version</t>
  </si>
  <si>
    <t>Record here → (Chrome is required for the stepper-centring and print checks)</t>
  </si>
  <si>
    <t>Tested by</t>
  </si>
  <si>
    <t>Record here →</t>
  </si>
  <si>
    <t>Start date</t>
  </si>
  <si>
    <t>Warning</t>
  </si>
  <si>
    <t>At the time the change log was written, roughly 11 files were changed but NOT committed (Open items OI-08). Run git status first and note whether you are testing a commit or a working tree — a reset loses the pending work and invalidates these results.</t>
  </si>
  <si>
    <t>Accounts you will need</t>
  </si>
  <si>
    <t>Employee</t>
  </si>
  <si>
    <t>Holds tasks, at least one on the active-work bar, one with a deadline and one blocked.</t>
  </si>
  <si>
    <t>Employee — empty</t>
  </si>
  <si>
    <t>Nothing assigned at all, for the empty-state test (OV-23).</t>
  </si>
  <si>
    <t>Manager</t>
  </si>
  <si>
    <t>Manages at least three reports who hold tasks; also holds tasks of their own; NOT a system administrator (EV-06, EV-07).</t>
  </si>
  <si>
    <t>System administrator</t>
  </si>
  <si>
    <t>Passes the admin-console check, for the Private / Team switch (EV-05, EV-08).</t>
  </si>
  <si>
    <t>Organisation scope</t>
  </si>
  <si>
    <t>Sees the third scope option, “Everyone” (TK-07).</t>
  </si>
  <si>
    <t>Legend</t>
  </si>
  <si>
    <t>Not run</t>
  </si>
  <si>
    <t>Not yet attempted. This is the starting value of every row.</t>
  </si>
  <si>
    <t>Pass</t>
  </si>
  <si>
    <t>Behaves exactly as the Expected result column describes.</t>
  </si>
  <si>
    <t>Fail</t>
  </si>
  <si>
    <t>Differs from the expected result. Record what actually happened and raise a defect.</t>
  </si>
  <si>
    <t>Blocked</t>
  </si>
  <si>
    <t>Cannot be tested — an environment problem, a missing account, or a decision on the Open items tab.</t>
  </si>
  <si>
    <t>N/A</t>
  </si>
  <si>
    <t>Not applicable to this build or this environment. Say why in Notes.</t>
  </si>
  <si>
    <t>Priority</t>
  </si>
  <si>
    <t>High — must pass before release. Medium — should pass. Low — cosmetic; log and move on.</t>
  </si>
  <si>
    <t>Rules for this pack</t>
  </si>
  <si>
    <t>Test what shipped</t>
  </si>
  <si>
    <t>Test the behaviour in the After column of the change log, not what you remember the screen doing.</t>
  </si>
  <si>
    <t>Pending vs committed</t>
  </si>
  <si>
    <t>The change log marks each change Committed or Pending. A Pending change is only in the working tree — if it is missing from your build, mark the row Blocked, not Fail.</t>
  </si>
  <si>
    <t>Help is product</t>
  </si>
  <si>
    <t>CLAUDE.md treats lib/help/knowledge.ts as product logic. In-product help that describes a removed feature is a defect (RG-06, OI-07), not a documentation task.</t>
  </si>
  <si>
    <t>Decisions first</t>
  </si>
  <si>
    <t>Six rows on Tasks depend on decisions listed on the Open items tab. Settle those before signing the Tasks tab off.</t>
  </si>
  <si>
    <t>Source: “Cowork changes 17 Aug 2026.xlsx”, tabs Overview, Tasks, Documents, Sheets, Everywhere and Open items. Test IDs are stable — quote them in defect reports.</t>
  </si>
  <si>
    <t>Summary — progress and result</t>
  </si>
  <si>
    <t>Counts update themselves from the Status column on each tab. Nothing here is typed by hand.</t>
  </si>
  <si>
    <t>Module</t>
  </si>
  <si>
    <t>Cases</t>
  </si>
  <si>
    <t>% complete</t>
  </si>
  <si>
    <t>What it covers</t>
  </si>
  <si>
    <t>Overview</t>
  </si>
  <si>
    <t>Home page and the active-work bar</t>
  </si>
  <si>
    <t>Tasks</t>
  </si>
  <si>
    <t>The Tasks page: heading, tabs, filters and the task list</t>
  </si>
  <si>
    <t>Documents</t>
  </si>
  <si>
    <t>Workspace ▸ Documents</t>
  </si>
  <si>
    <t>Sheets</t>
  </si>
  <si>
    <t>Workspace ▸ Sheets</t>
  </si>
  <si>
    <t>Everywhere</t>
  </si>
  <si>
    <t>Shell, top bar, logo, messages — every page</t>
  </si>
  <si>
    <t>Regression</t>
  </si>
  <si>
    <t>Build, tests and cross-cutting sweeps</t>
  </si>
  <si>
    <t>All modules</t>
  </si>
  <si>
    <t>Open items are tracked separately — see the Open items tab.</t>
  </si>
  <si>
    <t>Sign-off</t>
  </si>
  <si>
    <t/>
  </si>
  <si>
    <t>Date</t>
  </si>
  <si>
    <t>Name of the person who ran the checklist.</t>
  </si>
  <si>
    <t>Reviewed by</t>
  </si>
  <si>
    <t>Reviewer confirming the failures raised and the retests.</t>
  </si>
  <si>
    <t>Released by</t>
  </si>
  <si>
    <t>Only sign once every High-priority case passes and every Open item is decided.</t>
  </si>
  <si>
    <t>Overview — test cases</t>
  </si>
  <si>
    <t>Home page and the active-work bar  ·  26 cases  ·  fill in Actual result, Status, Tested by and Date</t>
  </si>
  <si>
    <t>Test ID</t>
  </si>
  <si>
    <t>Area / feature</t>
  </si>
  <si>
    <t>Change under test</t>
  </si>
  <si>
    <t>Pre-condition</t>
  </si>
  <si>
    <t>Test steps</t>
  </si>
  <si>
    <t>Expected result</t>
  </si>
  <si>
    <t>Actual result</t>
  </si>
  <si>
    <t>Status</t>
  </si>
  <si>
    <t>Notes / defect ref</t>
  </si>
  <si>
    <t>OV-01</t>
  </si>
  <si>
    <t>Active-work bar — layout</t>
  </si>
  <si>
    <t>Bar no longer wraps onto four rows</t>
  </si>
  <si>
    <t>High</t>
  </si>
  <si>
    <t>Signed in as an employee with one task assigned and showing on the active-work bar.</t>
  </si>
  <si>
    <t xml:space="preserve">1. Open /home.
2. Resize the browser window to exactly 1180px wide.
3. Look at the active-work bar at the top of the page content.
4. Repeat at 1280px, 1440px, 1680px and 1920px.
5. With DevTools, read the bar's computed height at each width.</t>
  </si>
  <si>
    <t>The bar renders on ONE row at every width from 1180px up. Height is 58px at every width. The Approve button stays on the same row and never drops underneath. No horizontal scrollbar appears.</t>
  </si>
  <si>
    <t>OV-02</t>
  </si>
  <si>
    <t>Task title is the column that flexes</t>
  </si>
  <si>
    <t>Medium</t>
  </si>
  <si>
    <t>Active task on the bar.</t>
  </si>
  <si>
    <t xml:space="preserve">1. At 1920px, note the width of each block on the bar.
2. Slowly drag the window narrower down to 1180px, watching the columns.</t>
  </si>
  <si>
    <t>Only the task-title column shrinks. Timer, deadline block, time-budget stepper and the right-hand action slot keep their widths. Nothing wraps, and the title truncates rather than pushing anything out of the row.</t>
  </si>
  <si>
    <t>OV-03</t>
  </si>
  <si>
    <t>Active-work bar — title</t>
  </si>
  <si>
    <t>Title sits in a rounded inset</t>
  </si>
  <si>
    <t>Active task on the bar, on a task that belongs to a project.</t>
  </si>
  <si>
    <t xml:space="preserve">1. Open /home.
2. Look at the title area of the bar.</t>
  </si>
  <si>
    <t>The task title alone sits inside a rounded inset. There is no eyebrow caption above it naming the project, and the words "No project" appear nowhere on the bar.</t>
  </si>
  <si>
    <t>OV-04</t>
  </si>
  <si>
    <t>Hovering the title opens the full brief</t>
  </si>
  <si>
    <t>Active task that has a reference, a project, a due date, a description and a completion checklist.</t>
  </si>
  <si>
    <t xml:space="preserve">1. Hover the title inset and hold for about one second.
2. Read every field in the panel that opens.
3. Move the pointer away.
4. Repeat with the window at 1180px.
5. Repeat on a task with NO project and NO description.</t>
  </si>
  <si>
    <t>A panel opens showing reference, project, due date, description and completion checklist, matching the task's own detail page. It closes on mouse-out. At 1180px it stays fully on screen. Missing fields are omitted or shown as a dash — never "undefined" or an empty label.</t>
  </si>
  <si>
    <t>OV-05</t>
  </si>
  <si>
    <t>Active-work bar — deadline</t>
  </si>
  <si>
    <t>"Task deadline" block shows date AND time</t>
  </si>
  <si>
    <t>Active task with a deadline set.</t>
  </si>
  <si>
    <t xml:space="preserve">1. Open /home.
2. Read the deadline block on the bar.
3. Open the same task's detail page and compare.</t>
  </si>
  <si>
    <t>A block labelled "Task deadline" shows date, time and zone — e.g. "17 Aug · 17:30 IST". It is not a bare date. The value matches the task detail page exactly.</t>
  </si>
  <si>
    <t>OV-06</t>
  </si>
  <si>
    <t>Deadline shows in every state of the bar</t>
  </si>
  <si>
    <t>A task whose time budget has been proposed but not yet accepted.</t>
  </si>
  <si>
    <t xml:space="preserve">1. Look at the deadline block while the terms are still being agreed.
2. Press Approve task.
3. Look at the deadline block again.
4. Start the timer and look again.
5. Reload the page and look again.</t>
  </si>
  <si>
    <t>The deadline block is visible in the same position in all four states — before accepting, after accepting, while running, and after a reload.</t>
  </si>
  <si>
    <t>OV-07</t>
  </si>
  <si>
    <t>Active-work bar — time budget</t>
  </si>
  <si>
    <t>Dropdown replaced by an hours + minutes stepper</t>
  </si>
  <si>
    <t>A task on the bar whose budget is not yet agreed.</t>
  </si>
  <si>
    <t>1. Look at the time-budget area of the bar.</t>
  </si>
  <si>
    <t>Two number fields are shown — hours and minutes — each with steppers. No preset dropdown appears anywhere on the bar.</t>
  </si>
  <si>
    <t>OV-08</t>
  </si>
  <si>
    <t>Minutes step in fives</t>
  </si>
  <si>
    <t>Budget stepper visible.</t>
  </si>
  <si>
    <t xml:space="preserve">1. Set minutes to 0.
2. Press the minutes up-arrow six times, reading the value each time.
3. Press the down-arrow back to 0.</t>
  </si>
  <si>
    <t>Values go 0 → 5 → 10 → 15 → 20 → 25 → 30 and back down in the same steps. The steppers never produce intermediate values (1, 2, 3…).</t>
  </si>
  <si>
    <t>OV-09</t>
  </si>
  <si>
    <t>55 + 5 rolls into the next hour</t>
  </si>
  <si>
    <t xml:space="preserve">1. Set the value to 1h 55m.
2. Press the minutes up-arrow once.
3. Now set 1h 00m and press the minutes down-arrow once.
4. At 0h 00m, press the minutes down-arrow.</t>
  </si>
  <si>
    <t>1h 55m + 5m becomes 2h 00m. Going down from 1h 00m borrows to 0h 55m. At 0h 00m the down-arrow does not produce a negative figure.</t>
  </si>
  <si>
    <t>OV-10</t>
  </si>
  <si>
    <t>Typed values are accepted</t>
  </si>
  <si>
    <t xml:space="preserve">1. Click into the hours field and type 1.
2. Click into the minutes field and type 20.
3. Click away from the field (blur).
4. Type an out-of-range value such as 99 in minutes and blur.</t>
  </si>
  <si>
    <t>1h 20m is kept and displayed — not snapped back to a preset. An out-of-range entry is corrected to a valid figure or rejected, never stored as-is. Record the actual behaviour.</t>
  </si>
  <si>
    <t>OV-11</t>
  </si>
  <si>
    <t>Digits are centred in the stepper pills</t>
  </si>
  <si>
    <t>Low</t>
  </si>
  <si>
    <t>Budget stepper visible. Test in Google Chrome specifically.</t>
  </si>
  <si>
    <t xml:space="preserve">1. Look at the hours and minutes pills.
2. Compare the gap left of the digits with the gap to their right.
3. Repeat with a two-digit value (55) and a one-digit value (5).</t>
  </si>
  <si>
    <t>Digits are visually centred in both pills at one and two digits, with no roughly 15px bias to the left from the native spinner reserve.</t>
  </si>
  <si>
    <t>OV-12</t>
  </si>
  <si>
    <t>Active-work bar — buttons</t>
  </si>
  <si>
    <t>One "Approve task" button, not two controls</t>
  </si>
  <si>
    <t>A task on the bar awaiting agreement.</t>
  </si>
  <si>
    <t>1. Look at the right-hand action slot.</t>
  </si>
  <si>
    <t>A single button reading "Approve task". There is no separate "Discuss time" control anywhere on the bar.</t>
  </si>
  <si>
    <t>OV-13</t>
  </si>
  <si>
    <t>The button's label follows the stepper</t>
  </si>
  <si>
    <t xml:space="preserve">1. Leave the proposed figure untouched and read the button label.
2. Change the hours or minutes and read the label again.
3. Set the figure back to exactly what was proposed and read it once more.</t>
  </si>
  <si>
    <t>Untouched → "Approve task". Changed → "Send for approval". Restored to the original figure → back to "Approve task".</t>
  </si>
  <si>
    <t>OV-14</t>
  </si>
  <si>
    <t>The "Confirm receipt" second step is gone</t>
  </si>
  <si>
    <t>A task on the bar awaiting agreement, figure untouched.</t>
  </si>
  <si>
    <t xml:space="preserve">1. Press "Approve task".
2. Watch the bar.
3. Reload the page.</t>
  </si>
  <si>
    <t>The task is accepted in one press. No "Confirm receipt" (or similarly worded) second button appears. The bar moves straight to the working state and stays there after a reload.</t>
  </si>
  <si>
    <t>OV-15</t>
  </si>
  <si>
    <t>Active-work bar — reason box</t>
  </si>
  <si>
    <t>Reason box no longer sits on the control row</t>
  </si>
  <si>
    <t xml:space="preserve">1. Change the figure on the stepper.
2. Watch the control row closely as you do it.
3. Now press "Send for approval".</t>
  </si>
  <si>
    <t>Touching the stepper does NOT put a text box on the row, and no control on the row shifts position. Pressing Send for approval opens a panel containing the reason box, a Cancel button and a Send button.</t>
  </si>
  <si>
    <t>OV-16</t>
  </si>
  <si>
    <t>Cancel closes the panel without sending</t>
  </si>
  <si>
    <t>Reason panel open.</t>
  </si>
  <si>
    <t xml:space="preserve">1. Type a reason.
2. Press Cancel.
3. Check the task's activity/history.</t>
  </si>
  <si>
    <t>The panel closes, nothing is sent, no entry is written to the task history, and the bar returns to its previous state with the changed figure still on the stepper.</t>
  </si>
  <si>
    <t>OV-17</t>
  </si>
  <si>
    <t>Send submits the renegotiation</t>
  </si>
  <si>
    <t>Reason panel open, figure changed.</t>
  </si>
  <si>
    <t xml:space="preserve">1. Type a reason.
2. Press Send.
3. Check the bar's state.
4. Sign in as the approving manager and open the request.</t>
  </si>
  <si>
    <t>The request is submitted with the new figure and the reason text. The bar shows an awaiting-approval state. The manager sees the same figure and reason.</t>
  </si>
  <si>
    <t>OV-18</t>
  </si>
  <si>
    <t>Active-work bar — timer</t>
  </si>
  <si>
    <t>The clock always shows a figure, never "Start"</t>
  </si>
  <si>
    <t>A task accepted but never started.</t>
  </si>
  <si>
    <t>1. Look at the clock area of the bar.</t>
  </si>
  <si>
    <t>The clock reads 00:00:00 with a play triangle beside it. The word "Start" does not appear on the clock in any state.</t>
  </si>
  <si>
    <t>OV-19</t>
  </si>
  <si>
    <t>Elapsed time runs and survives a reload</t>
  </si>
  <si>
    <t>A task accepted and not started.</t>
  </si>
  <si>
    <t xml:space="preserve">1. Press play.
2. Wait 30 seconds, reading the clock.
3. Reload the page.
4. Pause and resume.</t>
  </si>
  <si>
    <t>The clock counts up in real time from 00:00:00. After a reload it shows the same elapsed figure rather than resetting. Pause holds the figure; resume continues from it.</t>
  </si>
  <si>
    <t>OV-20</t>
  </si>
  <si>
    <t>A blocked clock keeps showing the time</t>
  </si>
  <si>
    <t>A task with time banked on the clock.</t>
  </si>
  <si>
    <t xml:space="preserve">1. Note the elapsed figure.
2. Mark the task blocked.
3. Look at the clock.</t>
  </si>
  <si>
    <t>The clock stays in place, turns amber, and still shows the banked figure. It is NOT replaced by an amber "Blocked" pill, and the figure is not reset.</t>
  </si>
  <si>
    <t>OV-21</t>
  </si>
  <si>
    <t>"Request more time" is a panel on the bar</t>
  </si>
  <si>
    <t>A task that is running or accepted.</t>
  </si>
  <si>
    <t xml:space="preserve">1. Hover the clock.
2. Press "Request more time".
3. Fill in the stepper and reason, then press Send.
4. Watch the browser URL throughout.</t>
  </si>
  <si>
    <t>Hovering offers "Request more time". Pressing it opens a panel on the bar with a stepper, a reason box and Send — the same shape as the first negotiation. The page does not navigate to the task's deadline page; the URL is unchanged. The request reaches the approver.</t>
  </si>
  <si>
    <t>OV-22</t>
  </si>
  <si>
    <t>Active-work bar — sizing</t>
  </si>
  <si>
    <t>Every right-hand state measures 150 × 36</t>
  </si>
  <si>
    <t>Access to tasks in each state: awaiting approval, running, blocked, stale, and one assigned to somebody else.</t>
  </si>
  <si>
    <t xml:space="preserve">1. For each state in turn, measure the right-hand control with DevTools.
2. Note width and height.</t>
  </si>
  <si>
    <t>Every state measures 150 × 36px — including Blocked, Stale and not-yours, which render as plain text rather than buttons. Nothing shrinks to fit its own text.</t>
  </si>
  <si>
    <t>OV-23</t>
  </si>
  <si>
    <t>Active-work bar — empty state</t>
  </si>
  <si>
    <t>The bar never disappears</t>
  </si>
  <si>
    <t>A user account with nothing assigned, or unassign everything from a test account.</t>
  </si>
  <si>
    <t xml:space="preserve">1. Sign in as that user and open /home.
2. Measure the bar.
3. Compare the position of the content below it with a user who does have a task.</t>
  </si>
  <si>
    <t>The bar is still there, same shell, 58px tall, reading "Nothing assigned to you". The page below does not shift up, and the state cannot be mistaken for a broken page.</t>
  </si>
  <si>
    <t>OV-24</t>
  </si>
  <si>
    <t>Page header</t>
  </si>
  <si>
    <t>Greeting block rebuilt</t>
  </si>
  <si>
    <t>Signed in.</t>
  </si>
  <si>
    <t xml:space="preserve">1. Open /home.
2. Read the left side of the header, top to bottom.
3. Read the right side.
4. Compare the clock with the machine's clock.</t>
  </si>
  <si>
    <t>Left: a brief sentence, then "Overview", then your name. Right: time above date, the time in the larger type, 12-hour with am/pm. The time matches the system clock.</t>
  </si>
  <si>
    <t>OV-25</t>
  </si>
  <si>
    <t>Cards</t>
  </si>
  <si>
    <t>Only one New task button on the page</t>
  </si>
  <si>
    <t>Signed in with permission to create tasks.</t>
  </si>
  <si>
    <t xml:space="preserve">1. Open /home and scan the whole page, scrolling to the bottom.
2. Count every control that creates a task.
3. Press it.</t>
  </si>
  <si>
    <t>Exactly one "New task" button exists, inside the QuickAssign card, and the QuickAssign card is at the top of the card stack. Pressing it opens the create flow.</t>
  </si>
  <si>
    <t>OV-26</t>
  </si>
  <si>
    <t>"Where your work sits" card</t>
  </si>
  <si>
    <t>Scope pills moved into the card</t>
  </si>
  <si>
    <t>Signed in with tasks in more than one scope.</t>
  </si>
  <si>
    <t xml:space="preserve">1. Open /home.
2. Look for scope pills in the page header.
3. Look inside the "Where your work sits" card.
4. Compare each pill's figure with the card's own breakdown.</t>
  </si>
  <si>
    <t>The pills sit inside the card and the page header carries none. Each count appears once on the page, and the pill figures agree with the card's breakdown.</t>
  </si>
  <si>
    <t>Tasks — test cases</t>
  </si>
  <si>
    <t>The Tasks page: heading, tabs, filters and the task list  ·  27 cases  ·  fill in Actual result, Status, Tested by and Date</t>
  </si>
  <si>
    <t>TK-01</t>
  </si>
  <si>
    <t>Page heading</t>
  </si>
  <si>
    <t>The big "Tasks" heading is gone visually</t>
  </si>
  <si>
    <t xml:space="preserve">1. Open /tasks.
2. Look above the tab row.
3. Note how far down the page the first task row starts, compared with a screenshot from before the change.</t>
  </si>
  <si>
    <t>No display-size "Tasks" heading is rendered. The tab row is the first thing under the top bar, and the first task row sits higher up the screen.</t>
  </si>
  <si>
    <t>TK-02</t>
  </si>
  <si>
    <t>The heading is still read by screen readers</t>
  </si>
  <si>
    <t>NVDA or VoiceOver available, or the DevTools accessibility tree.</t>
  </si>
  <si>
    <t xml:space="preserve">1. Open /tasks.
2. Inspect the accessibility tree for the page heading.
3. Or run a screen reader and navigate by heading (H in NVDA).</t>
  </si>
  <si>
    <t>A "Tasks" heading is still present in the accessibility tree and is announced when navigating by heading, even though it is not visible.</t>
  </si>
  <si>
    <t>TK-03</t>
  </si>
  <si>
    <t>The count sentence beside the title is gone</t>
  </si>
  <si>
    <t>A user with tasks assigned and a team.</t>
  </si>
  <si>
    <t xml:space="preserve">1. Open /tasks.
2. Look for wording such as "8 assigned to you · 12 across your team".</t>
  </si>
  <si>
    <t>The sentence is not present anywhere on the page. The same figures are still available on the scope pills.</t>
  </si>
  <si>
    <t>TK-04</t>
  </si>
  <si>
    <t>Tab row</t>
  </si>
  <si>
    <t>New task moved onto the tab row</t>
  </si>
  <si>
    <t xml:space="preserve">1. Open /tasks.
2. Find the New task button.
3. Measure the vertical space between the top bar and the tab row.</t>
  </si>
  <si>
    <t>New task sits at the right end of the tab row. There is no empty band (previously about 32px) above the tabs.</t>
  </si>
  <si>
    <t>TK-05</t>
  </si>
  <si>
    <t>New task still opens the create flow</t>
  </si>
  <si>
    <t xml:space="preserve">1. Press New task on the tab row.
2. Create a task end to end.</t>
  </si>
  <si>
    <t>The create flow opens and a task can be created and saved exactly as before the move.</t>
  </si>
  <si>
    <t>TK-06</t>
  </si>
  <si>
    <t>Scope filter</t>
  </si>
  <si>
    <t>"Mine" renamed to "My tasks"</t>
  </si>
  <si>
    <t>1. Open /tasks and read the scope filter options.</t>
  </si>
  <si>
    <t>The first option reads "My tasks". The word "Mine" appears nowhere in the filter.</t>
  </si>
  <si>
    <t>TK-07</t>
  </si>
  <si>
    <t>Five options cut to two (three at organisation scope)</t>
  </si>
  <si>
    <t>Two accounts: an ordinary employee or manager, and one with organisation scope.</t>
  </si>
  <si>
    <t xml:space="preserve">1. As the ordinary user, open /tasks and list every scope option.
2. Sign in with organisation scope and list them again.</t>
  </si>
  <si>
    <t>Ordinary user sees exactly: My tasks · My team. Organisation scope sees: My tasks · My team · Everyone. "Assigned out", "Self tasks" and "Submitted" are absent for both.</t>
  </si>
  <si>
    <t>TK-08</t>
  </si>
  <si>
    <t>Shows only on the Tasks tab</t>
  </si>
  <si>
    <t xml:space="preserve">1. Open /tasks on the Tasks tab and confirm the scope filter is present.
2. Visit each other tab in turn: Overview, Projects, Timeline, Actionable, Workload.</t>
  </si>
  <si>
    <t>The scope filter appears on the Tasks tab only. It is absent on all the other tabs, and its removal leaves no gap or empty toolbar.</t>
  </si>
  <si>
    <t>TK-09</t>
  </si>
  <si>
    <t>Moved down beside the other filter</t>
  </si>
  <si>
    <t>Signed in, on the Tasks tab.</t>
  </si>
  <si>
    <t xml:space="preserve">1. Locate the scope filter.
2. Locate the search box and the All/Open/Closed pills.</t>
  </si>
  <si>
    <t>The scope filter is at the right end of the list toolbar, on the same row as the search box and the filter pills. It is not on the tab row.</t>
  </si>
  <si>
    <t>TK-10</t>
  </si>
  <si>
    <t>Toolbar filters</t>
  </si>
  <si>
    <t>Three menus replaced by one row of three pills</t>
  </si>
  <si>
    <t xml:space="preserve">1. Look at the list toolbar.
2. Confirm the Filter, Group and Sort menus are gone.
3. Count the controls.</t>
  </si>
  <si>
    <t>Exactly three pills: All · Open · Closed. The Filter menu (3 toggles + 10 status checkboxes), the Group menu (5 options) and the Sort menu (4 options) are all absent.</t>
  </si>
  <si>
    <t>TK-11</t>
  </si>
  <si>
    <t>All / Open / Closed each filter correctly</t>
  </si>
  <si>
    <t>A list containing live tasks and at least two completed tasks.</t>
  </si>
  <si>
    <t xml:space="preserve">1. Press All and note the rows.
2. Press Open.
3. Press Closed.
4. Reload the page on each selection.</t>
  </si>
  <si>
    <t>All shows live and completed work. Open shows live work only. Closed shows completed work only. The selection survives a reload, or defaults cleanly — record which.</t>
  </si>
  <si>
    <t>TK-12</t>
  </si>
  <si>
    <t>Priority order is permanent</t>
  </si>
  <si>
    <t>A list with tasks at P1, P2 and P3.</t>
  </si>
  <si>
    <t xml:space="preserve">1. Look for any sort control on the page.
2. Read the order of the rows.
3. Switch scope, switch tabs, then come back.</t>
  </si>
  <si>
    <t>There is no sort control. Rows are always in priority order with P1 first, in every scope and after navigating away and back.</t>
  </si>
  <si>
    <t>TK-13</t>
  </si>
  <si>
    <t>The list is not grouped by status on arrival</t>
  </si>
  <si>
    <t>A list with tasks in several statuses.</t>
  </si>
  <si>
    <t xml:space="preserve">1. Open /tasks fresh in a private window, so no cached state applies.
2. Look at the list structure.</t>
  </si>
  <si>
    <t>One flat run of rows in priority order. No status bucket headings such as "In progress" or "Blocked" splitting the list.</t>
  </si>
  <si>
    <t>TK-14</t>
  </si>
  <si>
    <t>Toolbar</t>
  </si>
  <si>
    <t>The "N tasks" count is gone</t>
  </si>
  <si>
    <t>1. Look at the right end of the list toolbar.</t>
  </si>
  <si>
    <t>No "17 tasks"-style count. The figures are carried by the scope pills only.</t>
  </si>
  <si>
    <t>TK-15</t>
  </si>
  <si>
    <t>Task list — priority column</t>
  </si>
  <si>
    <t>Closed tasks show a dash, not "Was P1"</t>
  </si>
  <si>
    <t>At least three completed tasks in the list.</t>
  </si>
  <si>
    <t xml:space="preserve">1. Set the filter to Closed, then to All.
2. Read the priority column on every completed row.</t>
  </si>
  <si>
    <t>Every completed row shows a dash in the priority column. The wording "Was P1" (or Was P2, and so on) appears nowhere.</t>
  </si>
  <si>
    <t>TK-16</t>
  </si>
  <si>
    <t>Task list — order</t>
  </si>
  <si>
    <t>Completed tasks are pushed below live work</t>
  </si>
  <si>
    <t>A list with completed tasks that were once high priority, plus live P1/P2/P3 work.</t>
  </si>
  <si>
    <t xml:space="preserve">1. Set the filter to All.
2. Read the list top to bottom.</t>
  </si>
  <si>
    <t>All live work comes first in priority order, then all completed work. No completed task appears between two live tasks.</t>
  </si>
  <si>
    <t>TK-17</t>
  </si>
  <si>
    <t>Task list — My team</t>
  </si>
  <si>
    <t>The list separates by person</t>
  </si>
  <si>
    <t>A manager account with at least three reports who each hold tasks.</t>
  </si>
  <si>
    <t xml:space="preserve">1. Open /tasks and choose My team.
2. Read the list structure.</t>
  </si>
  <si>
    <t>Each person has their own heading with their tasks beneath it. Queues are not interleaved into one column.</t>
  </si>
  <si>
    <t>TK-18</t>
  </si>
  <si>
    <t>Your own tasks no longer appear</t>
  </si>
  <si>
    <t>A manager account that also holds tasks of its own.</t>
  </si>
  <si>
    <t xml:space="preserve">1. Note the titles of two tasks assigned to yourself.
2. Choose My team.
3. Search the list for those titles.
4. Check whether a heading with your own name exists.</t>
  </si>
  <si>
    <t>Neither of your own tasks appears in My team, and there is no heading bearing your own name. They are still visible under My tasks.</t>
  </si>
  <si>
    <t>TK-19</t>
  </si>
  <si>
    <t>A shared task is filed under the report</t>
  </si>
  <si>
    <t>A task assigned jointly to the manager and one of their reports.</t>
  </si>
  <si>
    <t xml:space="preserve">1. Choose My team.
2. Find the shared task.
3. Note which heading it sits under.</t>
  </si>
  <si>
    <t>The task sits under the report's heading. It does not create, or sit under, a heading with the manager's name.</t>
  </si>
  <si>
    <t>TK-20</t>
  </si>
  <si>
    <t>Drag to reorder a report's priority works</t>
  </si>
  <si>
    <t>A report with at least four draggable tasks — budget agreed and assignment accepted.</t>
  </si>
  <si>
    <t xml:space="preserve">1. Choose My team.
2. Read the priority tags under one person's heading.
3. Drag the third task above the first.
4. Read the confirmation.
5. Confirm.
6. Reload the page.</t>
  </si>
  <si>
    <t>Tasks under each heading carry that person's own priority order (P1, P2, P3…) rather than being unordered. Rows drag. A confirmation states how many deadlines will move. After confirming and reloading, the new order and priority tags persist.</t>
  </si>
  <si>
    <t>TK-21</t>
  </si>
  <si>
    <t>Deadlines actually move with the reorder</t>
  </si>
  <si>
    <t>As above. Record the deadlines of the affected tasks before dragging.</t>
  </si>
  <si>
    <t xml:space="preserve">1. Record each affected task's deadline.
2. Perform the reorder and confirm.
3. Re-read the deadlines on the task detail pages.
4. Compare the number of changed deadlines with the figure the confirmation stated.</t>
  </si>
  <si>
    <t>The deadlines that moved match the count in the confirmation, and no unrelated task's deadline changes.</t>
  </si>
  <si>
    <t>TK-22</t>
  </si>
  <si>
    <t>Task list — drag rules</t>
  </si>
  <si>
    <t>Rows that must not drag do not drag</t>
  </si>
  <si>
    <t>One container/project row, one task with an unagreed budget, and one task the assignee has not accepted.</t>
  </si>
  <si>
    <t xml:space="preserve">1. Choose My team.
2. Read the priority column on each of those three rows.
3. Attempt to drag each one.</t>
  </si>
  <si>
    <t>All three show a dash in the priority column and cannot be dragged. Attempting to drag does nothing and raises no error.</t>
  </si>
  <si>
    <t>TK-23</t>
  </si>
  <si>
    <t>The badge and the board agree with the list</t>
  </si>
  <si>
    <t>A manager account with reports. Regression check on the repository change.</t>
  </si>
  <si>
    <t xml:space="preserve">1. Note the number on the My team badge.
2. Count the rows in the My team list.
3. Open the board view for the same scope and count the cards.</t>
  </si>
  <si>
    <t>All three figures agree, and none of them counts the manager's own tasks.</t>
  </si>
  <si>
    <t>TK-24</t>
  </si>
  <si>
    <t>Cross-surface</t>
  </si>
  <si>
    <t>The dashboard Team lens excludes your own work</t>
  </si>
  <si>
    <t>A manager account with reports and tasks of its own. Impact of the repository change.</t>
  </si>
  <si>
    <t xml:space="preserve">1. Open the dashboard Team lens.
2. Check whether the manager's own tasks are counted.</t>
  </si>
  <si>
    <t>The Team lens reflects the reports' work only — consistent with the tasks list, the board and the My team badge.</t>
  </si>
  <si>
    <t>TK-25</t>
  </si>
  <si>
    <t>Priority-conflict warning</t>
  </si>
  <si>
    <t>The "Show" button is a known dead end</t>
  </si>
  <si>
    <t>A state that raises the priority-conflict warning.</t>
  </si>
  <si>
    <t xml:space="preserve">1. Trigger the warning.
2. Press Show.
3. Try to get back to the ungrouped list without reloading.</t>
  </si>
  <si>
    <t>KNOWN ISSUE, see Open items OI-04: Show groups the list by status and there is no way back until the page is reloaded. Record the behaviour and hold this row until the decision is made.</t>
  </si>
  <si>
    <t>TK-26</t>
  </si>
  <si>
    <t>Submitted work</t>
  </si>
  <si>
    <t>Submitted tasks appear under Open, not Closed</t>
  </si>
  <si>
    <t>A task that has been submitted and is awaiting a decision.</t>
  </si>
  <si>
    <t xml:space="preserve">1. Set the filter to Open and look for the submitted task.
2. Set it to Closed and look again.</t>
  </si>
  <si>
    <t>The submitted task is under Open. DECISION PENDING, see Open items OI-05 — confirm this is intended before signing this row off.</t>
  </si>
  <si>
    <t>TK-27</t>
  </si>
  <si>
    <t>Deadline column</t>
  </si>
  <si>
    <t>Wording for what the Deadline column shows</t>
  </si>
  <si>
    <t>The task list with a Deadline column.</t>
  </si>
  <si>
    <t xml:space="preserve">1. Read the Deadline column header and any tooltip on it.
2. Compare with a task whose requested date differs from its expected completion.</t>
  </si>
  <si>
    <t>The column states whether it shows the REQUESTED date or the expected completion date. BLOCKED on Open items OI-01 — the wording lost its home when the Sort menu was removed, and one automated test is failing on it.</t>
  </si>
  <si>
    <t>Documents — test cases</t>
  </si>
  <si>
    <t>Workspace ▸ Documents  ·  10 cases  ·  fill in Actual result, Status, Tested by and Date</t>
  </si>
  <si>
    <t>DOC-01</t>
  </si>
  <si>
    <t>Creating a document</t>
  </si>
  <si>
    <t>"This document is not available" is fixed</t>
  </si>
  <si>
    <t>Signed in with access to Workspace ▸ Documents.</t>
  </si>
  <si>
    <t xml:space="preserve">1. Open /workspace and go to Documents.
2. Create a new document.
3. Watch the screen for the first five seconds.
4. Type a line of text.
5. Reload the page.</t>
  </si>
  <si>
    <t>The document opens normally. The error "This document is not available" does not appear at any point. The typed text is still there after the reload.</t>
  </si>
  <si>
    <t>DOC-02</t>
  </si>
  <si>
    <t>The document survives a development remount</t>
  </si>
  <si>
    <t>The app running in development mode (npm run dev), where React mounts, unmounts and remounts.</t>
  </si>
  <si>
    <t xml:space="preserve">1. Create a new document in dev mode.
2. Wait ten seconds without typing.
3. Go back to the Documents list.
4. Reload and check the list again.</t>
  </si>
  <si>
    <t>The document still exists — the blank-draft cleanup does not delete it. A genuinely abandoned blank draft is still cleaned up per the existing rule; verify that path too.</t>
  </si>
  <si>
    <t>DOC-03</t>
  </si>
  <si>
    <t>Documents list</t>
  </si>
  <si>
    <t>The list updates as soon as you create one</t>
  </si>
  <si>
    <t>Documents list open.</t>
  </si>
  <si>
    <t xml:space="preserve">1. Note the current documents.
2. Create a new document.
3. Return to the list immediately and start a stopwatch.
4. Watch for up to 60 seconds without reloading.</t>
  </si>
  <si>
    <t>The new document appears in the list straight away — inside a second or two. "No documents yet" is never shown over a document that exists.</t>
  </si>
  <si>
    <t>DOC-04</t>
  </si>
  <si>
    <t>The list is correct after a hard reload</t>
  </si>
  <si>
    <t>One document just created.</t>
  </si>
  <si>
    <t xml:space="preserve">1. Hard-reload the page (Ctrl+F5).
2. Read the list.</t>
  </si>
  <si>
    <t>The document is listed with the right name and timestamp. No stale cached list is served.</t>
  </si>
  <si>
    <t>DOC-05</t>
  </si>
  <si>
    <t>Document editor</t>
  </si>
  <si>
    <t>Inserted images no longer disappear</t>
  </si>
  <si>
    <t>A document open in the editor and a local image file to hand.</t>
  </si>
  <si>
    <t xml:space="preserve">1. Insert an image using the editor's insert control.
2. Confirm it renders.
3. Save and close the document.
4. Reopen it.
5. Reload the browser and open it again.</t>
  </si>
  <si>
    <t>The image is present every time the document is reopened, including after a full browser reload.</t>
  </si>
  <si>
    <t>DOC-06</t>
  </si>
  <si>
    <t>A pasted screenshot persists</t>
  </si>
  <si>
    <t>A screenshot on the clipboard — this is the data-URI paste path.</t>
  </si>
  <si>
    <t xml:space="preserve">1. Paste the screenshot into the document.
2. Save, close and reopen it.</t>
  </si>
  <si>
    <t>The pasted image is retained: the stored HTML is read back with the data-URI image intact.</t>
  </si>
  <si>
    <t>DOC-07</t>
  </si>
  <si>
    <t>The editor is white in every theme</t>
  </si>
  <si>
    <t>The application theme switchable between light and dark.</t>
  </si>
  <si>
    <t xml:space="preserve">1. Open a document in light mode and note the page, toolbars and menus.
2. Switch the app to dark mode.
3. Open the document again and open each toolbar menu.</t>
  </si>
  <si>
    <t>The document page, the toolbars and the menus are white in both themes. Only the surrounding app chrome changes with the theme.</t>
  </si>
  <si>
    <t>DOC-08</t>
  </si>
  <si>
    <t>What you see matches what prints</t>
  </si>
  <si>
    <t>A document with text and an image.</t>
  </si>
  <si>
    <t xml:space="preserve">1. In dark mode, open the document.
2. Open the browser print preview (Ctrl+P).
3. Compare it with the editor.</t>
  </si>
  <si>
    <t>Print preview and editor look the same — white paper, same layout. Nothing is invisible or inverted in print.</t>
  </si>
  <si>
    <t>DOC-09</t>
  </si>
  <si>
    <t>Document editor — collaborators</t>
  </si>
  <si>
    <t>The Collaborators dropdown opens fully</t>
  </si>
  <si>
    <t>A document with the Collaborators control visible.</t>
  </si>
  <si>
    <t xml:space="preserve">1. Open the Collaborators dropdown.
2. Measure the visible height of the panel with DevTools.
3. Read every row in it and scroll to the last one.</t>
  </si>
  <si>
    <t>The whole panel is visible — about 157px, not clipped to roughly 40px. Every row can be read and clicked. The scrolling container no longer clips it.</t>
  </si>
  <si>
    <t>DOC-10</t>
  </si>
  <si>
    <t>The dropdown flips above the row when space is short</t>
  </si>
  <si>
    <t>A document list or editor long enough to scroll.</t>
  </si>
  <si>
    <t xml:space="preserve">1. Scroll so the Collaborators control is near the bottom of the window.
2. Open the dropdown.
3. Scroll so it is near the top and open it again.</t>
  </si>
  <si>
    <t>Near the bottom the panel opens upwards and stays fully on screen. Near the top it opens downwards. It is never cut off by the window edge.</t>
  </si>
  <si>
    <t>Sheets — test cases</t>
  </si>
  <si>
    <t>Workspace ▸ Sheets  ·  23 cases  ·  fill in Actual result, Status, Tested by and Date</t>
  </si>
  <si>
    <t>SH-01</t>
  </si>
  <si>
    <t>Saving a new sheet</t>
  </si>
  <si>
    <t>File ▸ Save actually creates the sheet</t>
  </si>
  <si>
    <t>Signed in with access to /sheets.</t>
  </si>
  <si>
    <t xml:space="preserve">1. Open /sheets and create a new sheet.
2. Type a value into A1.
3. File ▸ Save.
4. Go back to the sheets list.
5. Reload the browser and check the list again.</t>
  </si>
  <si>
    <t>The sheet is created and appears in the list with its contents. Nothing is silently lost, and the save reports its outcome on the chip beside the title.</t>
  </si>
  <si>
    <t>SH-02</t>
  </si>
  <si>
    <t>An empty new sheet still saves</t>
  </si>
  <si>
    <t>A brand-new sheet with no cells filled in.</t>
  </si>
  <si>
    <t xml:space="preserve">1. Create a new sheet and change nothing.
2. File ▸ Save.
3. Check the list.</t>
  </si>
  <si>
    <t>The record is created even though the sheet is empty, and it opens again from the list.</t>
  </si>
  <si>
    <t>SH-03</t>
  </si>
  <si>
    <t>Naming a new sheet</t>
  </si>
  <si>
    <t>The name you type before the first save is kept</t>
  </si>
  <si>
    <t>A brand-new, unsaved sheet.</t>
  </si>
  <si>
    <t xml:space="preserve">1. Rename the sheet to "QA rename check" BEFORE saving.
2. Confirm the new name appears on screen straight away.
3. File ▸ Save.
4. Check the sheets list, then reopen the sheet.</t>
  </si>
  <si>
    <t>The name shows on screen immediately, is sent with the create call, and the sheet is listed and stored as "QA rename check" — never "Untitled sheet".</t>
  </si>
  <si>
    <t>SH-04</t>
  </si>
  <si>
    <t>Renaming after the first save still works</t>
  </si>
  <si>
    <t>A saved sheet.</t>
  </si>
  <si>
    <t xml:space="preserve">1. Rename it.
2. Save.
3. Reload and check the list.</t>
  </si>
  <si>
    <t>The new name persists both in the sheet and in the list.</t>
  </si>
  <si>
    <t>SH-05</t>
  </si>
  <si>
    <t>File menu</t>
  </si>
  <si>
    <t>Save reports "Saving…", not "Saved."</t>
  </si>
  <si>
    <t>A sheet with unsaved changes. Throttle the network (DevTools → Slow 3G) so the write takes visible time.</t>
  </si>
  <si>
    <t xml:space="preserve">1. Open the File menu and press Save.
2. Read the menu wording at the moment of the click.
3. Watch the chip beside the sheet title until the write finishes.</t>
  </si>
  <si>
    <t>The menu says "Saving…" while the request is in flight — success is not claimed at click time. The chip beside the title reports the outcome, showing "Saved" only once the write has completed.</t>
  </si>
  <si>
    <t>SH-06</t>
  </si>
  <si>
    <t>A failed save is reported as a failure</t>
  </si>
  <si>
    <t>A sheet with unsaved changes.</t>
  </si>
  <si>
    <t xml:space="preserve">1. Go offline (DevTools → Offline).
2. Press Save.
3. Read the chip beside the title.
4. Go back online and press Save again.</t>
  </si>
  <si>
    <t>The chip reports the failure rather than showing "Saved". Once back online, saving succeeds and the chip updates.</t>
  </si>
  <si>
    <t>SH-07</t>
  </si>
  <si>
    <t>Ribbon — Insert tab</t>
  </si>
  <si>
    <t>The Insert tab exists with the expected groups</t>
  </si>
  <si>
    <t>A sheet open.</t>
  </si>
  <si>
    <t xml:space="preserve">1. Open the ribbon's Insert tab.
2. Read the group labels left to right.</t>
  </si>
  <si>
    <t>Groups read: Cells · Tables · Sheet · Function · Link · Controls · Notes.</t>
  </si>
  <si>
    <t>SH-08</t>
  </si>
  <si>
    <t>Insert ▸ Cells</t>
  </si>
  <si>
    <t>Insert and delete cells with a shift</t>
  </si>
  <si>
    <t>A sheet with data in a block of cells.</t>
  </si>
  <si>
    <t xml:space="preserve">1. Select a 2×2 block.
2. Open Insert ▸ Cells and read the menu heading.
3. Choose "Insert cells and shift right", then undo.
4. Choose "Insert cells and shift down", then undo.
5. Choose "Delete cells and shift left", then undo.
6. Choose "Delete cells and shift up".</t>
  </si>
  <si>
    <t>The menu heading counts the selection ("Insert 4 cells"). Each of the four commands performs the real edit in the stated direction, and undo reverses each one.</t>
  </si>
  <si>
    <t>SH-09</t>
  </si>
  <si>
    <t>Insert ▸ Rows</t>
  </si>
  <si>
    <t>Insert above / below and delete rows</t>
  </si>
  <si>
    <t>A sheet with several rows of data, including a formula that references them.</t>
  </si>
  <si>
    <t xml:space="preserve">1. Select three rows.
2. Open Insert ▸ Rows and read the item labels.
3. Insert 3 rows above; undo.
4. Insert 3 rows below; undo.
5. Delete 3 rows.</t>
  </si>
  <si>
    <t>Labels count the selection ("Insert 3 rows above"). Rows are inserted in the right place, data shifts correctly, formulas still reference the right cells, and undo reverses each action.</t>
  </si>
  <si>
    <t>SH-10</t>
  </si>
  <si>
    <t>Insert ▸ Columns</t>
  </si>
  <si>
    <t>Insert left / right and delete columns</t>
  </si>
  <si>
    <t>A sheet with several columns of data, including a formula that references them.</t>
  </si>
  <si>
    <t xml:space="preserve">1. Select two columns.
2. Insert 2 columns left; undo.
3. Insert 2 columns right; undo.
4. Delete 2 columns.</t>
  </si>
  <si>
    <t>Labels count the selection. Columns are inserted and deleted correctly, and formulas re-point rather than breaking.</t>
  </si>
  <si>
    <t>SH-11</t>
  </si>
  <si>
    <t>Insert ▸ Sheet</t>
  </si>
  <si>
    <t>Add a sheet from the ribbon and by keyboard</t>
  </si>
  <si>
    <t>A workbook with one sheet.</t>
  </si>
  <si>
    <t xml:space="preserve">1. Insert ▸ Sheet.
2. Check the sheet tab bar.
3. Press Shift+F11.
4. Save and reload.</t>
  </si>
  <si>
    <t>Both routes add a new sheet, and both survive a save and reload.</t>
  </si>
  <si>
    <t>SH-12</t>
  </si>
  <si>
    <t>Insert ▸ Function</t>
  </si>
  <si>
    <t>A function inserted from the menu computes</t>
  </si>
  <si>
    <t>A sheet with numbers in A1:A5.</t>
  </si>
  <si>
    <t xml:space="preserve">1. Select A6.
2. Insert ▸ Function and choose SUM from the catalogue.
3. Complete the range and press Enter.
4. Change a value in A1:A5.</t>
  </si>
  <si>
    <t>The function is inserted, computes the correct total, and recalculates when an input changes.</t>
  </si>
  <si>
    <t>SH-13</t>
  </si>
  <si>
    <t>Insert ▸ Link</t>
  </si>
  <si>
    <t>Insert and remove a hyperlink</t>
  </si>
  <si>
    <t>A sheet open with a cell selected.</t>
  </si>
  <si>
    <t xml:space="preserve">1. Insert ▸ Link and enter "www.example.com" with no scheme.
2. Confirm the cell.
3. Click the link.
4. Reopen the menu and choose Remove link.</t>
  </si>
  <si>
    <t>The URL is normalised to https://www.example.com, the cell renders as a link and opens the address. Remove link strips the link and keeps the cell text.</t>
  </si>
  <si>
    <t>SH-14</t>
  </si>
  <si>
    <t>Insert ▸ Tick box</t>
  </si>
  <si>
    <t>Selection becomes tick boxes that toggle</t>
  </si>
  <si>
    <t xml:space="preserve">1. Select B2:B6.
2. Insert ▸ Tick box.
3. Click two of the boxes.
4. Read the underlying cell values.
5. Save and reload.</t>
  </si>
  <si>
    <t>The cells render as tick boxes. Clicking one toggles its value between TRUE and FALSE. The state persists after a save and reload.</t>
  </si>
  <si>
    <t>SH-15</t>
  </si>
  <si>
    <t>Insert ▸ Drop-down</t>
  </si>
  <si>
    <t>A validated drop-down is created</t>
  </si>
  <si>
    <t xml:space="preserve">1. Select a range.
2. Insert ▸ Drop-down and define a list of options.
3. Pick an option in a cell.
4. Type a value that is not on the list.</t>
  </si>
  <si>
    <t>The cells show a drop-down with the defined options. A listed option is accepted. A value outside the list is rejected or flagged, per the validation rule.</t>
  </si>
  <si>
    <t>SH-16</t>
  </si>
  <si>
    <t>Insert ▸ Emoji</t>
  </si>
  <si>
    <t>An emoji is inserted into the cell</t>
  </si>
  <si>
    <t xml:space="preserve">1. Insert ▸ Emoji and choose one.
2. Save and reload.</t>
  </si>
  <si>
    <t>The emoji is written into the selected cell and renders correctly after a reload.</t>
  </si>
  <si>
    <t>SH-17</t>
  </si>
  <si>
    <t>Insert ▸ Comment</t>
  </si>
  <si>
    <t>A comment is attached to the active cell</t>
  </si>
  <si>
    <t xml:space="preserve">1. Select C3 and use Insert ▸ Comment.
2. Type a comment and confirm.
3. Click elsewhere, then back on C3.
4. Save and reload.</t>
  </si>
  <si>
    <t>A marker appears on C3, the comment reopens with its text intact, and it survives a save and reload.</t>
  </si>
  <si>
    <t>SH-18</t>
  </si>
  <si>
    <t>Unsupported items are absent, not dead</t>
  </si>
  <si>
    <t>Insert tab open.</t>
  </si>
  <si>
    <t xml:space="preserve">1. Read every control on the strip.
2. Look specifically for Chart, Pivot table, Timeline, Image, Drawing and smart chips.
3. Press every control that IS present.</t>
  </si>
  <si>
    <t>None of those items appear on the strip. Every control that is present performs a real edit — there are no buttons that do nothing.</t>
  </si>
  <si>
    <t>SH-19</t>
  </si>
  <si>
    <t>Opening a menu does not lose the selection</t>
  </si>
  <si>
    <t>A sheet with a selected range.</t>
  </si>
  <si>
    <t xml:space="preserve">1. Select B2:D6.
2. Open Insert ▸ Rows without clicking a command.
3. Close the menu with Escape.
4. Check the selection and the label counts.</t>
  </si>
  <si>
    <t>The selection is retained when the menu opens and closes, and the item labels reflect the size of the selection.</t>
  </si>
  <si>
    <t>SH-20</t>
  </si>
  <si>
    <t>Insert ▸ Tables</t>
  </si>
  <si>
    <t>Six ready-made tables are offered</t>
  </si>
  <si>
    <t>A sheet open on an empty area.</t>
  </si>
  <si>
    <t xml:space="preserve">1. Open Insert ▸ Tables.
2. List every template offered and read each row's description.</t>
  </si>
  <si>
    <t>Exactly six: Project tracker, Task list, Budget, Team roster, Meeting actions, Inventory. Each row states where the table would land and what it would cover.</t>
  </si>
  <si>
    <t>SH-21</t>
  </si>
  <si>
    <t>Each template inserts a complete table</t>
  </si>
  <si>
    <t>An empty area of a sheet. Repeat for all six templates.</t>
  </si>
  <si>
    <t xml:space="preserve">1. Insert the template.
2. Check the header row, column widths, filters, drop-downs, number and date formats, and example rows.
3. Type into an example row and use a drop-down.
4. Save and reload.</t>
  </si>
  <si>
    <t>Each template lands with its header row, sized columns, filters, working drop-downs, correct formats and example rows. Everything survives a save and reload.</t>
  </si>
  <si>
    <t>SH-22</t>
  </si>
  <si>
    <t>A template that cannot land cleanly is disabled with a reason</t>
  </si>
  <si>
    <t>A sheet with data occupying the area where a template would land.</t>
  </si>
  <si>
    <t xml:space="preserve">1. Select a cell so the template would overlap existing data.
2. Open Insert ▸ Tables.
3. Read the state of each entry.
4. Try to click a disabled one.</t>
  </si>
  <si>
    <t>The template is shown but disabled, with the reason stated — not hidden. Clicking it does nothing, and no existing data is overwritten.</t>
  </si>
  <si>
    <t>SH-23</t>
  </si>
  <si>
    <t>A template never overwrites existing work</t>
  </si>
  <si>
    <t>A sheet with data near the insert point.</t>
  </si>
  <si>
    <t xml:space="preserve">1. Fill a block of cells with recognisable values.
2. Insert each template that is offered as available.
3. Check the original block afterwards.</t>
  </si>
  <si>
    <t>Every original value is intact after every insertion.</t>
  </si>
  <si>
    <t>Everywhere — test cases</t>
  </si>
  <si>
    <t>Shell, top bar, logo, messages — every page  ·  12 cases  ·  fill in Actual result, Status, Tested by and Date</t>
  </si>
  <si>
    <t>EV-01</t>
  </si>
  <si>
    <t>Every workspace page</t>
  </si>
  <si>
    <t>The page heading is gone visually</t>
  </si>
  <si>
    <t>Signed in with access to the workspace pages.</t>
  </si>
  <si>
    <t xml:space="preserve">1. Visit each workspace page that uses the shared header — spot-check at least 10 of the 32, covering Tasks, Team, Score, Meetings, Messages, Settings, Attendance, Notifications, Projects and Reports.
2. Look above the tab row on each.</t>
  </si>
  <si>
    <t>No page repeats its own name in large type above the tabs. The nav rail and tab row carry the location.</t>
  </si>
  <si>
    <t>EV-02</t>
  </si>
  <si>
    <t>The heading is still announced to screen readers</t>
  </si>
  <si>
    <t>Screen reader, or the DevTools accessibility tree.</t>
  </si>
  <si>
    <t>1. On three different workspace pages, inspect the accessibility tree for the page heading.</t>
  </si>
  <si>
    <t>Each page still exposes its heading to assistive technology, even though it is not visible.</t>
  </si>
  <si>
    <t>EV-03</t>
  </si>
  <si>
    <t>Home page</t>
  </si>
  <si>
    <t>The home page keeps its "Overview" heading</t>
  </si>
  <si>
    <t xml:space="preserve">1. Open /home.
2. Look for the Overview heading.</t>
  </si>
  <si>
    <t>"Overview" is still visible on the home page — the one place the heading is a statement rather than a label.</t>
  </si>
  <si>
    <t>EV-04</t>
  </si>
  <si>
    <t>The row under the title collapses when empty</t>
  </si>
  <si>
    <t xml:space="preserve">1. On pages with nothing on the title row, measure the gap between the top bar and the tab row.
2. On a page that does have controls on that row, check they still render.</t>
  </si>
  <si>
    <t>No empty band remains on pages with nothing to put there. Pages that still have controls on that row are unaffected.</t>
  </si>
  <si>
    <t>EV-05</t>
  </si>
  <si>
    <t>Top bar</t>
  </si>
  <si>
    <t>Private / Team switch is offered to administrators</t>
  </si>
  <si>
    <t>An account that passes the admin-console check — a system administrator.</t>
  </si>
  <si>
    <t xml:space="preserve">1. Sign in as the administrator.
2. Look at the top bar.
3. Switch to Team and back to Private.</t>
  </si>
  <si>
    <t>The Private / Team switch is visible and both lenses work. It behaves as a radiogroup: exactly one is selected at a time.</t>
  </si>
  <si>
    <t>EV-06</t>
  </si>
  <si>
    <t>A manager who is not an administrator does not get the switch</t>
  </si>
  <si>
    <t>An account that manages people but is NOT a system administrator.</t>
  </si>
  <si>
    <t xml:space="preserve">1. Sign in as that manager.
2. Look at the top bar.
3. Check which lens the dashboard is using.</t>
  </si>
  <si>
    <t>The switch is not rendered and the dashboard is on the Private lens. No ranked comparison of named colleagues is reachable from the top bar.</t>
  </si>
  <si>
    <t>EV-07</t>
  </si>
  <si>
    <t>A saved Team link cannot be used to get back in</t>
  </si>
  <si>
    <t>The non-administrator manager account, with a previously saved lens preference.</t>
  </si>
  <si>
    <t xml:space="preserve">1. As that manager, open the dashboard with ?lens=team in the URL.
2. Set the stored lens to "team" in localStorage and reload.</t>
  </si>
  <si>
    <t>In both cases the user is put back on Private. The Team lens does not render from a saved link or a stored preference.</t>
  </si>
  <si>
    <t>EV-08</t>
  </si>
  <si>
    <t>A slow session does not demote a real administrator</t>
  </si>
  <si>
    <t>Administrator account, with the network throttled so the session resolves slowly.</t>
  </si>
  <si>
    <t xml:space="preserve">1. Throttle to Slow 3G and load the dashboard as the administrator.
2. Watch the lens while the session resolves.
3. Let it finish loading.</t>
  </si>
  <si>
    <t>The administrator is not clamped to Private while the session is loading or stalled — "not known yet" is not treated as "not an administrator". Once resolved, the switch appears and the chosen lens is kept.</t>
  </si>
  <si>
    <t>EV-09</t>
  </si>
  <si>
    <t>Logo</t>
  </si>
  <si>
    <t>The real artwork appears in all four places</t>
  </si>
  <si>
    <t>The app installed or pinned so the taskbar icon is visible, and notifications enabled.</t>
  </si>
  <si>
    <t xml:space="preserve">1. Check the in-app logo.
2. Check the browser tab favicon.
3. Check the taskbar / installed-app icon.
4. Trigger a notification and check its icon.</t>
  </si>
  <si>
    <t>All four show the real artwork with a transparent background. There is no white box behind it, and no AI-modified variant anywhere.</t>
  </si>
  <si>
    <t>EV-10</t>
  </si>
  <si>
    <t>Every icon file is served, not redirected</t>
  </si>
  <si>
    <t>DevTools Network tab.</t>
  </si>
  <si>
    <t xml:space="preserve">1. Load the app with the Network tab open, filtered to images.
2. Check the response status and content type of every icon, favicon and manifest icon request.
3. Request each icon URL directly in a new tab.</t>
  </si>
  <si>
    <t>Each icon returns 200 with an image content type. None is redirected to the sign-in page.</t>
  </si>
  <si>
    <t>EV-11</t>
  </si>
  <si>
    <t>Messages</t>
  </si>
  <si>
    <t>One New message control, no heading, panes filled</t>
  </si>
  <si>
    <t>Signed in with access to Messages.</t>
  </si>
  <si>
    <t xml:space="preserve">1. Open Messages.
2. Count the controls that start a new message.
3. Look for a "Messages" heading.
4. Look at the space below the panes and the padding around them.
5. Press + and send a message.</t>
  </si>
  <si>
    <t>Only the "+" control exists, rendered white; the large "New message" button is gone. There is no "Messages" heading. The panes fill the window with matching padding and no empty space beneath. The + still starts and sends a message.</t>
  </si>
  <si>
    <t>EV-12</t>
  </si>
  <si>
    <t>Help button</t>
  </si>
  <si>
    <t>Moved to the top and resized</t>
  </si>
  <si>
    <t xml:space="preserve">1. Locate the Help button.
2. Compare its vertical centre with the top bar's centre line.
3. Measure it against a screenshot from before the change.
4. Press it.</t>
  </si>
  <si>
    <t>It sits at the top, aligned to the top bar's centre line, and is about 30% smaller than before. It still opens help.</t>
  </si>
  <si>
    <t>Regression — test cases</t>
  </si>
  <si>
    <t>Build, tests and cross-cutting sweeps  ·  10 cases  ·  fill in Actual result, Status, Tested by and Date</t>
  </si>
  <si>
    <t>RG-01</t>
  </si>
  <si>
    <t>Automated tests</t>
  </si>
  <si>
    <t>Unit and rule tests</t>
  </si>
  <si>
    <t>Repository checked out at the build under test, with dependencies installed.</t>
  </si>
  <si>
    <t xml:space="preserve">1. Run: npm test
2. Read the summary and every failure.</t>
  </si>
  <si>
    <t>All tests pass except the known deadline-wording failure recorded in Open items OI-01. Any other failure is a defect — log it.</t>
  </si>
  <si>
    <t>RG-02</t>
  </si>
  <si>
    <t>Type checking</t>
  </si>
  <si>
    <t>TypeScript compiles</t>
  </si>
  <si>
    <t>As above.</t>
  </si>
  <si>
    <t>1. Run: npx tsc --noEmit</t>
  </si>
  <si>
    <t>No type errors.</t>
  </si>
  <si>
    <t>RG-03</t>
  </si>
  <si>
    <t>Linting</t>
  </si>
  <si>
    <t>ESLint is clean</t>
  </si>
  <si>
    <t>1. Run: npm run lint</t>
  </si>
  <si>
    <t>No errors. Warnings recorded but not blocking.</t>
  </si>
  <si>
    <t>RG-04</t>
  </si>
  <si>
    <t>Build</t>
  </si>
  <si>
    <t>Production build succeeds</t>
  </si>
  <si>
    <t>1. Run: npm run build</t>
  </si>
  <si>
    <t>The build completes with no errors and no new build-time warnings about the changed routes.</t>
  </si>
  <si>
    <t>RG-05</t>
  </si>
  <si>
    <t>Secrets</t>
  </si>
  <si>
    <t>No secrets committed</t>
  </si>
  <si>
    <t>1. Run: npm run check-secrets</t>
  </si>
  <si>
    <t>Clean.</t>
  </si>
  <si>
    <t>RG-06</t>
  </si>
  <si>
    <t>Help knowledge</t>
  </si>
  <si>
    <t>In-product help matches the shipped behaviour</t>
  </si>
  <si>
    <t>As above. CLAUDE.md makes the help corpus part of the product, not documentation.</t>
  </si>
  <si>
    <t xml:space="preserve">1. Run the help coverage test as part of npm test.
2. Search lib/help/knowledge.ts for the removed vocabulary: "Assigned out", "Self tasks", "Submitted", "Mine".
3. Open in-product help and read the task-scope article.</t>
  </si>
  <si>
    <t>The corpus describes only the scopes that now exist. BLOCKED on Open items OI-07 — the file is under a never-touch rule and is known to be out of date.</t>
  </si>
  <si>
    <t>RG-07</t>
  </si>
  <si>
    <t>Console hygiene</t>
  </si>
  <si>
    <t>No console errors on the changed pages</t>
  </si>
  <si>
    <t>App running, DevTools console open.</t>
  </si>
  <si>
    <t xml:space="preserve">1. Visit /home, /tasks, /workspace and /sheets in turn.
2. Exercise the main flow on each.
3. Read the console.</t>
  </si>
  <si>
    <t>No uncaught errors, no React key or hydration warnings, and no failed network requests.</t>
  </si>
  <si>
    <t>RG-08</t>
  </si>
  <si>
    <t>Theme sweep</t>
  </si>
  <si>
    <t>Light and dark both look right</t>
  </si>
  <si>
    <t>App running.</t>
  </si>
  <si>
    <t xml:space="preserve">1. In light mode, walk /home, /tasks, /workspace and /sheets.
2. Switch to dark mode and repeat.</t>
  </si>
  <si>
    <t>Every changed surface is legible in both themes, and the document editor stays white in both (see DOC-07). No unreadable text or invisible borders.</t>
  </si>
  <si>
    <t>RG-09</t>
  </si>
  <si>
    <t>Responsive sweep</t>
  </si>
  <si>
    <t>Widths from 1180px up</t>
  </si>
  <si>
    <t xml:space="preserve">1. At 1180, 1280, 1440, 1680 and 1920px, load /home, /tasks, /workspace and /sheets.
2. Look for wrapping, clipping, overlapping controls and horizontal scrollbars.</t>
  </si>
  <si>
    <t>No layout breaks at any width from 1180px up. The active-work bar stays on one row at 58px.</t>
  </si>
  <si>
    <t>RG-10</t>
  </si>
  <si>
    <t>Build provenance</t>
  </si>
  <si>
    <t>The build under test includes the pending work</t>
  </si>
  <si>
    <t>Access to the repository.</t>
  </si>
  <si>
    <t xml:space="preserve">1. Run: git status
2. Confirm which changes in this checklist are committed and which exist only in the working tree.
3. Record the commit SHA, or "working tree", on the How to use tab.</t>
  </si>
  <si>
    <t>The tester knows exactly which build was tested. Around 11 files were uncommitted when the change log was written (Open items OI-08) — if the working tree is reset, those changes go with it.</t>
  </si>
  <si>
    <t>Open items — decisions still outstanding</t>
  </si>
  <si>
    <t>Eight things waiting on a decision. Six of them block a row on the Tasks tab — settle these before signing that tab off.</t>
  </si>
  <si>
    <t>Ref</t>
  </si>
  <si>
    <t>Page</t>
  </si>
  <si>
    <t>What is open</t>
  </si>
  <si>
    <t>What it means</t>
  </si>
  <si>
    <t>Decision needed</t>
  </si>
  <si>
    <t>Decision taken</t>
  </si>
  <si>
    <t>Decided by / date</t>
  </si>
  <si>
    <t>How to verify once decided</t>
  </si>
  <si>
    <t>OI-01</t>
  </si>
  <si>
    <t>One automated test is failing and was not touched</t>
  </si>
  <si>
    <t>The test checks that the task list says which date its Deadline column shows — the date REQUESTED, not when the work will actually finish. That wording lived only in the Sort menu, which has been removed.</t>
  </si>
  <si>
    <t>Decide where the wording goes. Suggested: the column header. Changing the test is the product owner's call.</t>
  </si>
  <si>
    <t>Once decided: re-run npm test, confirm the test passes, and verify the wording is visible on the Deadline column (TK-27).</t>
  </si>
  <si>
    <t>OI-02</t>
  </si>
  <si>
    <t>Tasks — My team</t>
  </si>
  <si>
    <t>Two protected files were edited</t>
  </si>
  <si>
    <t>Excluding your own tasks from My team can only be done where the list is built. Filtering on screen instead would leave the My team badge and the board disagreeing with the list.</t>
  </si>
  <si>
    <t>Confirm the change is kept, or have it reverted.</t>
  </si>
  <si>
    <t>If kept: run TK-18, TK-23 and TK-24 and confirm list, badge, board and dashboard all agree.</t>
  </si>
  <si>
    <t>OI-03</t>
  </si>
  <si>
    <t>The change reaches beyond this page</t>
  </si>
  <si>
    <t>Anything reading the team list now excludes your own work: the tasks list, the board, the My team badge, and the Team lens on the dashboard.</t>
  </si>
  <si>
    <t>Confirm that is the intended behaviour everywhere, not only on the tasks list.</t>
  </si>
  <si>
    <t>If confirmed: run TK-23 and TK-24. If not: the repository change is reverted and TK-18 is re-specified.</t>
  </si>
  <si>
    <t>OI-04</t>
  </si>
  <si>
    <t>The "Show" button on the priority-conflict warning is a dead end</t>
  </si>
  <si>
    <t>Its only action was to group the list by status. With that control gone, pressing it groups the list and there is no way back until you reload.</t>
  </si>
  <si>
    <t>Remove the button, or specify what it should do instead.</t>
  </si>
  <si>
    <t>Once decided: re-test TK-25 against the new behaviour.</t>
  </si>
  <si>
    <t>OI-05</t>
  </si>
  <si>
    <t>Submitted work shows under Open, not Closed</t>
  </si>
  <si>
    <t>Submitted work is waiting on a decision and the product does not count it as finished — if it comes back as rework it was never closed.</t>
  </si>
  <si>
    <t>Leave it under Open, or move it into Closed.</t>
  </si>
  <si>
    <t>Once decided: re-test TK-26 and TK-11 against the chosen rule.</t>
  </si>
  <si>
    <t>OI-06</t>
  </si>
  <si>
    <t>Three background reads now fetch nothing anyone uses</t>
  </si>
  <si>
    <t>They counted the scopes that were removed. The standing rule forbids removing that kind of code, so they still run on every page load.</t>
  </si>
  <si>
    <t>Permission to delete them.</t>
  </si>
  <si>
    <t>If granted: confirm in DevTools that /tasks no longer issues those three requests, and re-run TK-07 and RG-07.</t>
  </si>
  <si>
    <t>OI-07</t>
  </si>
  <si>
    <t>Help content</t>
  </si>
  <si>
    <t>The in-product help is wrong about task scopes</t>
  </si>
  <si>
    <t>It describes five scopes in detail; two no longer exist. Anyone reading it will be told about a filter that is not there. CLAUDE.md treats the help corpus as product logic, so this is a shipped defect rather than documentation drift.</t>
  </si>
  <si>
    <t>Lift the never-touch rule on lib/help/knowledge.ts, or accept it being out of date.</t>
  </si>
  <si>
    <t>If lifted: update the affected articles, then run RG-06 — the corpus must describe only the scopes that exist.</t>
  </si>
  <si>
    <t>OI-08</t>
  </si>
  <si>
    <t>Whole product</t>
  </si>
  <si>
    <t>Most of the later work is not committed</t>
  </si>
  <si>
    <t>Around 11 files are changed but unsaved to git. If the folder is lost or reset, that work goes with it.</t>
  </si>
  <si>
    <t>Commit when satisfied with it.</t>
  </si>
  <si>
    <t>Before testing: record the commit SHA, or note "working tree", on the How to use tab (RG-10). Re-run this checklist against the committed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</si>
</sst>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 mmm yyyy"/>
  </numFmts>
  <fonts count="7" x14ac:knownFonts="1">
    <font>
      <color theme="1"/>
      <family val="2"/>
      <scheme val="minor"/>
      <sz val="11"/>
      <name val="Calibri"/>
    </font>
    <font>
      <b/>
      <color rgb="FFFFFFFF"/>
      <sz val="14"/>
      <name val="Arial"/>
    </font>
    <font>
      <i/>
      <color rgb="FF5A6472"/>
      <sz val="9"/>
      <name val="Arial"/>
    </font>
    <font>
      <b/>
      <color rgb="FFFFFFFF"/>
      <sz val="11"/>
      <name val="Arial"/>
    </font>
    <font>
      <b/>
      <color rgb="FF1F2937"/>
      <sz val="10"/>
      <name val="Arial"/>
    </font>
    <font>
      <color rgb="FF1F2937"/>
      <sz val="10"/>
      <name val="Arial"/>
    </font>
    <font>
      <b/>
      <color rgb="FFFFFFFF"/>
      <sz val="10"/>
      <name val="Arial"/>
    </font>
  </fonts>
  <fills count="8">
    <fill>
      <patternFill patternType="none"/>
    </fill>
    <fill>
      <patternFill patternType="gray125"/>
    </fill>
    <fill>
      <patternFill patternType="solid">
        <fgColor rgb="FF1F3864"/>
      </patternFill>
    </fill>
    <fill>
      <patternFill patternType="solid">
        <fgColor rgb="FF2E5395"/>
      </patternFill>
    </fill>
    <fill>
      <patternFill patternType="solid">
        <fgColor rgb="FFFFF6CC"/>
      </patternFill>
    </fill>
    <fill>
      <patternFill patternType="solid">
        <fgColor rgb="FFF5F7FA"/>
      </patternFill>
    </fill>
    <fill>
      <patternFill patternType="solid">
        <fgColor rgb="FFFFFDF0"/>
      </patternFill>
    </fill>
    <fill>
      <patternFill patternType="solid">
        <fgColor rgb="FF8A5A00"/>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indent="1"/>
    </xf>
    <xf numFmtId="0" fontId="2" fillId="0" borderId="0" xfId="0" applyFont="1" applyAlignment="1">
      <alignment horizontal="left" vertical="center" indent="1"/>
    </xf>
    <xf numFmtId="0" fontId="3" fillId="3" borderId="0" xfId="0" applyFont="1" applyFill="1" applyAlignment="1">
      <alignment vertical="center" indent="1"/>
    </xf>
    <xf numFmtId="0" fontId="4" fillId="0" borderId="1" xfId="0" applyFont="1" applyBorder="1" applyAlignment="1">
      <alignment vertical="top" wrapText="1" indent="1"/>
    </xf>
    <xf numFmtId="0" fontId="5" fillId="0" borderId="1" xfId="0" applyFont="1" applyBorder="1" applyAlignment="1">
      <alignment vertical="top" wrapText="1" indent="1"/>
    </xf>
    <xf numFmtId="0" fontId="5" fillId="4" borderId="1" xfId="0" applyFont="1" applyFill="1" applyBorder="1" applyAlignment="1">
      <alignment vertical="top" wrapText="1" indent="1"/>
    </xf>
    <xf numFmtId="0" fontId="2"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left" vertical="center" wrapText="1" indent="1"/>
    </xf>
    <xf numFmtId="0" fontId="5" fillId="0" borderId="1" xfId="0" applyFont="1" applyBorder="1" applyAlignment="1">
      <alignment horizontal="center" vertical="center" wrapText="1" indent="1"/>
    </xf>
    <xf numFmtId="9" fontId="5" fillId="0" borderId="1" xfId="0" applyNumberFormat="1" applyFont="1" applyBorder="1" applyAlignment="1">
      <alignment horizontal="center" vertical="center" wrapText="1" indent="1"/>
    </xf>
    <xf numFmtId="0" fontId="5" fillId="0" borderId="1" xfId="0" applyFont="1" applyBorder="1" applyAlignment="1">
      <alignment horizontal="left" vertical="center" wrapText="1" indent="1"/>
    </xf>
    <xf numFmtId="0" fontId="4" fillId="5" borderId="1" xfId="0" applyFont="1" applyFill="1" applyBorder="1" applyAlignment="1">
      <alignment horizontal="left" vertical="center" wrapText="1" indent="1"/>
    </xf>
    <xf numFmtId="0" fontId="5" fillId="5" borderId="1" xfId="0" applyFont="1" applyFill="1" applyBorder="1" applyAlignment="1">
      <alignment horizontal="center" vertical="center" wrapText="1" indent="1"/>
    </xf>
    <xf numFmtId="9" fontId="5" fillId="5" borderId="1" xfId="0" applyNumberFormat="1" applyFont="1" applyFill="1" applyBorder="1" applyAlignment="1">
      <alignment horizontal="center" vertical="center" wrapText="1" indent="1"/>
    </xf>
    <xf numFmtId="0" fontId="5" fillId="5"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xf>
    <xf numFmtId="0" fontId="6" fillId="3" borderId="1" xfId="0" applyFont="1" applyFill="1" applyBorder="1" applyAlignment="1">
      <alignment horizontal="center" vertical="center" wrapText="1" indent="1"/>
    </xf>
    <xf numFmtId="9" fontId="6" fillId="3" borderId="1" xfId="0" applyNumberFormat="1" applyFont="1" applyFill="1" applyBorder="1" applyAlignment="1">
      <alignment horizontal="center" vertical="center" wrapText="1" indent="1"/>
    </xf>
    <xf numFmtId="0" fontId="4" fillId="0" borderId="1" xfId="0" applyFont="1" applyBorder="1" applyAlignment="1">
      <alignment vertical="center" wrapText="1" indent="1"/>
    </xf>
    <xf numFmtId="0" fontId="5" fillId="4" borderId="1" xfId="0" applyFont="1" applyFill="1" applyBorder="1" applyAlignment="1">
      <alignment vertical="center" wrapText="1" indent="1"/>
    </xf>
    <xf numFmtId="0" fontId="5" fillId="0" borderId="1" xfId="0" applyFont="1" applyBorder="1" applyAlignment="1">
      <alignment vertical="center" wrapText="1" indent="1"/>
    </xf>
    <xf numFmtId="0" fontId="4" fillId="0" borderId="1" xfId="0" applyFont="1" applyBorder="1" applyAlignment="1">
      <alignment horizontal="center" vertical="top" wrapText="1"/>
    </xf>
    <xf numFmtId="0" fontId="5" fillId="0" borderId="1" xfId="0" applyFont="1" applyBorder="1" applyAlignment="1">
      <alignment horizontal="left" vertical="top" wrapText="1" indent="1"/>
    </xf>
    <xf numFmtId="0" fontId="5" fillId="0" borderId="1" xfId="0" applyFont="1" applyBorder="1" applyAlignment="1">
      <alignment horizontal="center" vertical="top" wrapText="1" indent="1"/>
    </xf>
    <xf numFmtId="0" fontId="5" fillId="6" borderId="1" xfId="0" applyFont="1" applyFill="1" applyBorder="1" applyAlignment="1">
      <alignment horizontal="left" vertical="top" wrapText="1" indent="1"/>
    </xf>
    <xf numFmtId="164" fontId="5" fillId="0" borderId="1" xfId="0" applyNumberFormat="1" applyFont="1" applyBorder="1" applyAlignment="1">
      <alignment horizontal="center" vertical="top" wrapText="1" indent="1"/>
    </xf>
    <xf numFmtId="0" fontId="4" fillId="5" borderId="1" xfId="0" applyFont="1" applyFill="1" applyBorder="1" applyAlignment="1">
      <alignment horizontal="center" vertical="top" wrapText="1"/>
    </xf>
    <xf numFmtId="0" fontId="5" fillId="5" borderId="1" xfId="0" applyFont="1" applyFill="1" applyBorder="1" applyAlignment="1">
      <alignment horizontal="left" vertical="top" wrapText="1" indent="1"/>
    </xf>
    <xf numFmtId="0" fontId="5" fillId="5" borderId="1" xfId="0" applyFont="1" applyFill="1" applyBorder="1" applyAlignment="1">
      <alignment horizontal="center" vertical="top" wrapText="1" indent="1"/>
    </xf>
    <xf numFmtId="164" fontId="5" fillId="5" borderId="1" xfId="0" applyNumberFormat="1" applyFont="1" applyFill="1" applyBorder="1" applyAlignment="1">
      <alignment horizontal="center" vertical="top" wrapText="1" indent="1"/>
    </xf>
    <xf numFmtId="0" fontId="6" fillId="7" borderId="1" xfId="0" applyFont="1" applyFill="1" applyBorder="1" applyAlignment="1">
      <alignment horizontal="center" vertical="center" wrapText="1"/>
    </xf>
    <xf numFmtId="0" fontId="5" fillId="4" borderId="1" xfId="0" applyFont="1" applyFill="1" applyBorder="1" applyAlignment="1">
      <alignment horizontal="left" vertical="top" wrapText="1" indent="1"/>
    </xf>
  </cellXfs>
  <cellStyles count="1">
    <cellStyle name="Normal" xfId="0" builtinId="0"/>
  </cellStyles>
  <dxfs count="38">
    <dxf>
      <font>
        <b/>
        <color rgb="FFA32020"/>
        <sz val="10"/>
        <name val="Arial"/>
      </font>
      <fill>
        <patternFill patternType="solid">
          <bgColor rgb="FFF8D2D2"/>
        </patternFill>
      </fill>
    </dxf>
    <dxf>
      <font>
        <b/>
        <color rgb="FF8A5A00"/>
        <sz val="10"/>
        <name val="Arial"/>
      </font>
      <fill>
        <patternFill patternType="solid">
          <bgColor rgb="FFFCE8C8"/>
        </patternFill>
      </fill>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
      <font>
        <b/>
        <color rgb="FF1B5E20"/>
        <sz val="10"/>
        <name val="Arial"/>
      </font>
      <fill>
        <patternFill patternType="solid">
          <bgColor rgb="FFD8EFD8"/>
        </patternFill>
      </fill>
    </dxf>
    <dxf>
      <font>
        <b/>
        <color rgb="FFA32020"/>
        <sz val="10"/>
        <name val="Arial"/>
      </font>
      <fill>
        <patternFill patternType="solid">
          <bgColor rgb="FFF8D2D2"/>
        </patternFill>
      </fill>
    </dxf>
    <dxf>
      <font>
        <b/>
        <color rgb="FF8A5A00"/>
        <sz val="10"/>
        <name val="Arial"/>
      </font>
      <fill>
        <patternFill patternType="solid">
          <bgColor rgb="FFFCE8C8"/>
        </patternFill>
      </fill>
    </dxf>
    <dxf>
      <font>
        <color rgb="FF6B7280"/>
        <sz val="10"/>
        <name val="Arial"/>
      </font>
      <fill>
        <patternFill patternType="solid">
          <bgColor rgb="FFE8E8E8"/>
        </patternFill>
      </fill>
    </dxf>
    <dxf>
      <font>
        <color rgb="FF9AA3AF"/>
        <sz val="10"/>
        <name val="Arial"/>
      </font>
    </dxf>
    <dxf>
      <font>
        <b/>
        <color rgb="FFA32020"/>
        <sz val="10"/>
        <name val="Arial"/>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9.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howGridLines="0"/>
  </sheetViews>
  <sheetFormatPr defaultRowHeight="15" outlineLevelRow="0" outlineLevelCol="0" x14ac:dyDescent="55"/>
  <cols>
    <col min="1" max="1" width="26" customWidth="1"/>
    <col min="2" max="2" width="96" customWidth="1"/>
  </cols>
  <sheetData>
    <row r="1" ht="26" customHeight="1" spans="1:2" x14ac:dyDescent="0.25">
      <c r="A1" s="1" t="s">
        <v>0</v>
      </c>
      <c r="B1" s="1"/>
    </row>
    <row r="2" ht="18" customHeight="1" spans="1:2" x14ac:dyDescent="0.25">
      <c r="A2" s="2" t="s">
        <v>1</v>
      </c>
      <c r="B2" s="2"/>
    </row>
    <row r="4" ht="6" customHeight="1" x14ac:dyDescent="0.25"/>
    <row r="5" ht="20" customHeight="1" spans="1:2" x14ac:dyDescent="0.25">
      <c r="A5" s="3" t="s">
        <v>2</v>
      </c>
      <c r="B5" s="3"/>
    </row>
    <row r="6" ht="43.8" customHeight="1" spans="1:2" x14ac:dyDescent="0.25">
      <c r="A6" s="4" t="s">
        <v>3</v>
      </c>
      <c r="B6" s="5" t="s">
        <v>4</v>
      </c>
    </row>
    <row r="7" ht="43.8" customHeight="1" spans="1:2" x14ac:dyDescent="0.25">
      <c r="A7" s="4" t="s">
        <v>5</v>
      </c>
      <c r="B7" s="5" t="s">
        <v>6</v>
      </c>
    </row>
    <row r="8" ht="43.8" customHeight="1" spans="1:2" x14ac:dyDescent="0.25">
      <c r="A8" s="4" t="s">
        <v>7</v>
      </c>
      <c r="B8" s="5" t="s">
        <v>8</v>
      </c>
    </row>
    <row r="9" ht="6" customHeight="1" x14ac:dyDescent="0.25"/>
    <row r="10" ht="20" customHeight="1" spans="1:2" x14ac:dyDescent="0.25">
      <c r="A10" s="3" t="s">
        <v>9</v>
      </c>
      <c r="B10" s="3"/>
    </row>
    <row r="11" ht="30" customHeight="1" spans="1:2" x14ac:dyDescent="0.25">
      <c r="A11" s="4" t="s">
        <v>10</v>
      </c>
      <c r="B11" s="6" t="s">
        <v>11</v>
      </c>
    </row>
    <row r="12" ht="30" customHeight="1" spans="1:2" x14ac:dyDescent="0.25">
      <c r="A12" s="4" t="s">
        <v>12</v>
      </c>
      <c r="B12" s="6" t="s">
        <v>13</v>
      </c>
    </row>
    <row r="13" ht="30" customHeight="1" spans="1:2" x14ac:dyDescent="0.25">
      <c r="A13" s="4" t="s">
        <v>14</v>
      </c>
      <c r="B13" s="6" t="s">
        <v>15</v>
      </c>
    </row>
    <row r="14" ht="30" customHeight="1" spans="1:2" x14ac:dyDescent="0.25">
      <c r="A14" s="4" t="s">
        <v>16</v>
      </c>
      <c r="B14" s="6" t="s">
        <v>17</v>
      </c>
    </row>
    <row r="15" ht="30" customHeight="1" spans="1:2" x14ac:dyDescent="0.25">
      <c r="A15" s="4" t="s">
        <v>18</v>
      </c>
      <c r="B15" s="6" t="s">
        <v>17</v>
      </c>
    </row>
    <row r="16" ht="43.8" customHeight="1" spans="1:2" x14ac:dyDescent="0.25">
      <c r="A16" s="4" t="s">
        <v>19</v>
      </c>
      <c r="B16" s="5" t="s">
        <v>20</v>
      </c>
    </row>
    <row r="17" ht="6" customHeight="1" x14ac:dyDescent="0.25"/>
    <row r="18" ht="20" customHeight="1" spans="1:2" x14ac:dyDescent="0.25">
      <c r="A18" s="3" t="s">
        <v>21</v>
      </c>
      <c r="B18" s="3"/>
    </row>
    <row r="19" ht="30" customHeight="1" spans="1:2" x14ac:dyDescent="0.25">
      <c r="A19" s="4" t="s">
        <v>22</v>
      </c>
      <c r="B19" s="5" t="s">
        <v>23</v>
      </c>
    </row>
    <row r="20" ht="30" customHeight="1" spans="1:2" x14ac:dyDescent="0.25">
      <c r="A20" s="4" t="s">
        <v>24</v>
      </c>
      <c r="B20" s="5" t="s">
        <v>25</v>
      </c>
    </row>
    <row r="21" ht="31.2" customHeight="1" spans="1:2" x14ac:dyDescent="0.25">
      <c r="A21" s="4" t="s">
        <v>26</v>
      </c>
      <c r="B21" s="5" t="s">
        <v>27</v>
      </c>
    </row>
    <row r="22" ht="30" customHeight="1" spans="1:2" x14ac:dyDescent="0.25">
      <c r="A22" s="4" t="s">
        <v>28</v>
      </c>
      <c r="B22" s="5" t="s">
        <v>29</v>
      </c>
    </row>
    <row r="23" ht="30" customHeight="1" spans="1:2" x14ac:dyDescent="0.25">
      <c r="A23" s="4" t="s">
        <v>30</v>
      </c>
      <c r="B23" s="5" t="s">
        <v>31</v>
      </c>
    </row>
    <row r="24" ht="6" customHeight="1" x14ac:dyDescent="0.25"/>
    <row r="25" ht="20" customHeight="1" spans="1:2" x14ac:dyDescent="0.25">
      <c r="A25" s="3" t="s">
        <v>32</v>
      </c>
      <c r="B25" s="3"/>
    </row>
    <row r="26" ht="30" customHeight="1" spans="1:2" x14ac:dyDescent="0.25">
      <c r="A26" s="4" t="s">
        <v>33</v>
      </c>
      <c r="B26" s="5" t="s">
        <v>34</v>
      </c>
    </row>
    <row r="27" ht="30" customHeight="1" spans="1:2" x14ac:dyDescent="0.25">
      <c r="A27" s="4" t="s">
        <v>35</v>
      </c>
      <c r="B27" s="5" t="s">
        <v>36</v>
      </c>
    </row>
    <row r="28" ht="30" customHeight="1" spans="1:2" x14ac:dyDescent="0.25">
      <c r="A28" s="4" t="s">
        <v>37</v>
      </c>
      <c r="B28" s="5" t="s">
        <v>38</v>
      </c>
    </row>
    <row r="29" ht="31.2" customHeight="1" spans="1:2" x14ac:dyDescent="0.25">
      <c r="A29" s="4" t="s">
        <v>39</v>
      </c>
      <c r="B29" s="5" t="s">
        <v>40</v>
      </c>
    </row>
    <row r="30" ht="30" customHeight="1" spans="1:2" x14ac:dyDescent="0.25">
      <c r="A30" s="4" t="s">
        <v>41</v>
      </c>
      <c r="B30" s="5" t="s">
        <v>42</v>
      </c>
    </row>
    <row r="31" ht="30" customHeight="1" spans="1:2" x14ac:dyDescent="0.25">
      <c r="A31" s="4" t="s">
        <v>43</v>
      </c>
      <c r="B31" s="5" t="s">
        <v>44</v>
      </c>
    </row>
    <row r="32" ht="6" customHeight="1" x14ac:dyDescent="0.25"/>
    <row r="33" ht="20" customHeight="1" spans="1:2" x14ac:dyDescent="0.25">
      <c r="A33" s="3" t="s">
        <v>45</v>
      </c>
      <c r="B33" s="3"/>
    </row>
    <row r="34" ht="31.2" customHeight="1" spans="1:2" x14ac:dyDescent="0.25">
      <c r="A34" s="4" t="s">
        <v>46</v>
      </c>
      <c r="B34" s="5" t="s">
        <v>47</v>
      </c>
    </row>
    <row r="35" ht="31.2" customHeight="1" spans="1:2" x14ac:dyDescent="0.25">
      <c r="A35" s="4" t="s">
        <v>48</v>
      </c>
      <c r="B35" s="5" t="s">
        <v>49</v>
      </c>
    </row>
    <row r="36" ht="31.2" customHeight="1" spans="1:2" x14ac:dyDescent="0.25">
      <c r="A36" s="4" t="s">
        <v>50</v>
      </c>
      <c r="B36" s="5" t="s">
        <v>51</v>
      </c>
    </row>
    <row r="37" ht="31.2" customHeight="1" spans="1:2" x14ac:dyDescent="0.25">
      <c r="A37" s="4" t="s">
        <v>52</v>
      </c>
      <c r="B37" s="5" t="s">
        <v>53</v>
      </c>
    </row>
    <row r="39" spans="1:2" x14ac:dyDescent="0.25">
      <c r="A39" s="7" t="s">
        <v>54</v>
      </c>
      <c r="B39" s="7"/>
    </row>
  </sheetData>
  <mergeCells count="8">
    <mergeCell ref="A1:B1"/>
    <mergeCell ref="A2:B2"/>
    <mergeCell ref="A5:B5"/>
    <mergeCell ref="A10:B10"/>
    <mergeCell ref="A18:B18"/>
    <mergeCell ref="A25:B25"/>
    <mergeCell ref="A33:B33"/>
    <mergeCell ref="A39:B3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9"/>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83</v>
      </c>
      <c r="B1" s="1"/>
      <c r="C1" s="1"/>
      <c r="D1" s="1"/>
      <c r="E1" s="1"/>
      <c r="F1" s="1"/>
      <c r="G1" s="1"/>
      <c r="H1" s="1"/>
      <c r="I1" s="1"/>
      <c r="J1" s="1"/>
      <c r="K1" s="1"/>
      <c r="L1" s="1"/>
    </row>
    <row r="2" ht="18" customHeight="1" spans="1:12" x14ac:dyDescent="0.25">
      <c r="A2" s="2" t="s">
        <v>84</v>
      </c>
      <c r="B2" s="2"/>
      <c r="C2" s="2"/>
      <c r="D2" s="2"/>
      <c r="E2" s="2"/>
      <c r="F2" s="2"/>
      <c r="G2" s="2"/>
      <c r="H2" s="2"/>
      <c r="I2" s="2"/>
      <c r="J2" s="2"/>
      <c r="K2" s="2"/>
      <c r="L2" s="2"/>
    </row>
    <row r="3" ht="24" customHeight="1" spans="1:12" x14ac:dyDescent="0.25">
      <c r="A3" s="8" t="s">
        <v>85</v>
      </c>
      <c r="B3" s="8" t="s">
        <v>86</v>
      </c>
      <c r="C3" s="8" t="s">
        <v>87</v>
      </c>
      <c r="D3" s="8" t="s">
        <v>43</v>
      </c>
      <c r="E3" s="8" t="s">
        <v>88</v>
      </c>
      <c r="F3" s="8" t="s">
        <v>89</v>
      </c>
      <c r="G3" s="8" t="s">
        <v>90</v>
      </c>
      <c r="H3" s="8" t="s">
        <v>91</v>
      </c>
      <c r="I3" s="8" t="s">
        <v>92</v>
      </c>
      <c r="J3" s="8" t="s">
        <v>16</v>
      </c>
      <c r="K3" s="8" t="s">
        <v>77</v>
      </c>
      <c r="L3" s="8" t="s">
        <v>93</v>
      </c>
    </row>
    <row r="4" ht="94.2" customHeight="1" spans="1:12" x14ac:dyDescent="0.25">
      <c r="A4" s="23" t="s">
        <v>94</v>
      </c>
      <c r="B4" s="24" t="s">
        <v>95</v>
      </c>
      <c r="C4" s="24" t="s">
        <v>96</v>
      </c>
      <c r="D4" s="25" t="s">
        <v>97</v>
      </c>
      <c r="E4" s="24" t="s">
        <v>98</v>
      </c>
      <c r="F4" s="24" t="s">
        <v>99</v>
      </c>
      <c r="G4" s="24" t="s">
        <v>100</v>
      </c>
      <c r="H4" s="26" t="s">
        <v>76</v>
      </c>
      <c r="I4" s="25" t="s">
        <v>33</v>
      </c>
      <c r="J4" s="24" t="s">
        <v>76</v>
      </c>
      <c r="K4" s="27" t="s">
        <v>76</v>
      </c>
      <c r="L4" s="26" t="s">
        <v>76</v>
      </c>
    </row>
    <row r="5" ht="69" customHeight="1" spans="1:12" x14ac:dyDescent="0.25">
      <c r="A5" s="28" t="s">
        <v>101</v>
      </c>
      <c r="B5" s="29" t="s">
        <v>95</v>
      </c>
      <c r="C5" s="29" t="s">
        <v>102</v>
      </c>
      <c r="D5" s="30" t="s">
        <v>103</v>
      </c>
      <c r="E5" s="29" t="s">
        <v>104</v>
      </c>
      <c r="F5" s="29" t="s">
        <v>105</v>
      </c>
      <c r="G5" s="29" t="s">
        <v>106</v>
      </c>
      <c r="H5" s="26" t="s">
        <v>76</v>
      </c>
      <c r="I5" s="30" t="s">
        <v>33</v>
      </c>
      <c r="J5" s="29" t="s">
        <v>76</v>
      </c>
      <c r="K5" s="31" t="s">
        <v>76</v>
      </c>
      <c r="L5" s="26" t="s">
        <v>76</v>
      </c>
    </row>
    <row r="6" ht="56.4" customHeight="1" spans="1:12" x14ac:dyDescent="0.25">
      <c r="A6" s="23" t="s">
        <v>107</v>
      </c>
      <c r="B6" s="24" t="s">
        <v>108</v>
      </c>
      <c r="C6" s="24" t="s">
        <v>109</v>
      </c>
      <c r="D6" s="25" t="s">
        <v>103</v>
      </c>
      <c r="E6" s="24" t="s">
        <v>110</v>
      </c>
      <c r="F6" s="24" t="s">
        <v>111</v>
      </c>
      <c r="G6" s="24" t="s">
        <v>112</v>
      </c>
      <c r="H6" s="26" t="s">
        <v>76</v>
      </c>
      <c r="I6" s="25" t="s">
        <v>33</v>
      </c>
      <c r="J6" s="24" t="s">
        <v>76</v>
      </c>
      <c r="K6" s="27" t="s">
        <v>76</v>
      </c>
      <c r="L6" s="26" t="s">
        <v>76</v>
      </c>
    </row>
    <row r="7" ht="94.2" customHeight="1" spans="1:12" x14ac:dyDescent="0.25">
      <c r="A7" s="28" t="s">
        <v>113</v>
      </c>
      <c r="B7" s="29" t="s">
        <v>108</v>
      </c>
      <c r="C7" s="29" t="s">
        <v>114</v>
      </c>
      <c r="D7" s="30" t="s">
        <v>97</v>
      </c>
      <c r="E7" s="29" t="s">
        <v>115</v>
      </c>
      <c r="F7" s="29" t="s">
        <v>116</v>
      </c>
      <c r="G7" s="29" t="s">
        <v>117</v>
      </c>
      <c r="H7" s="26" t="s">
        <v>76</v>
      </c>
      <c r="I7" s="30" t="s">
        <v>33</v>
      </c>
      <c r="J7" s="29" t="s">
        <v>76</v>
      </c>
      <c r="K7" s="31" t="s">
        <v>76</v>
      </c>
      <c r="L7" s="26" t="s">
        <v>76</v>
      </c>
    </row>
    <row r="8" ht="56.4" customHeight="1" spans="1:12" x14ac:dyDescent="0.25">
      <c r="A8" s="23" t="s">
        <v>118</v>
      </c>
      <c r="B8" s="24" t="s">
        <v>119</v>
      </c>
      <c r="C8" s="24" t="s">
        <v>120</v>
      </c>
      <c r="D8" s="25" t="s">
        <v>97</v>
      </c>
      <c r="E8" s="24" t="s">
        <v>121</v>
      </c>
      <c r="F8" s="24" t="s">
        <v>122</v>
      </c>
      <c r="G8" s="24" t="s">
        <v>123</v>
      </c>
      <c r="H8" s="26" t="s">
        <v>76</v>
      </c>
      <c r="I8" s="25" t="s">
        <v>33</v>
      </c>
      <c r="J8" s="24" t="s">
        <v>76</v>
      </c>
      <c r="K8" s="27" t="s">
        <v>76</v>
      </c>
      <c r="L8" s="26" t="s">
        <v>76</v>
      </c>
    </row>
    <row r="9" ht="81.6" customHeight="1" spans="1:12" x14ac:dyDescent="0.25">
      <c r="A9" s="28" t="s">
        <v>124</v>
      </c>
      <c r="B9" s="29" t="s">
        <v>119</v>
      </c>
      <c r="C9" s="29" t="s">
        <v>125</v>
      </c>
      <c r="D9" s="30" t="s">
        <v>97</v>
      </c>
      <c r="E9" s="29" t="s">
        <v>126</v>
      </c>
      <c r="F9" s="29" t="s">
        <v>127</v>
      </c>
      <c r="G9" s="29" t="s">
        <v>128</v>
      </c>
      <c r="H9" s="26" t="s">
        <v>76</v>
      </c>
      <c r="I9" s="30" t="s">
        <v>33</v>
      </c>
      <c r="J9" s="29" t="s">
        <v>76</v>
      </c>
      <c r="K9" s="31" t="s">
        <v>76</v>
      </c>
      <c r="L9" s="26" t="s">
        <v>76</v>
      </c>
    </row>
    <row r="10" ht="43.8" customHeight="1" spans="1:12" x14ac:dyDescent="0.25">
      <c r="A10" s="23" t="s">
        <v>129</v>
      </c>
      <c r="B10" s="24" t="s">
        <v>130</v>
      </c>
      <c r="C10" s="24" t="s">
        <v>131</v>
      </c>
      <c r="D10" s="25" t="s">
        <v>97</v>
      </c>
      <c r="E10" s="24" t="s">
        <v>132</v>
      </c>
      <c r="F10" s="24" t="s">
        <v>133</v>
      </c>
      <c r="G10" s="24" t="s">
        <v>134</v>
      </c>
      <c r="H10" s="26" t="s">
        <v>76</v>
      </c>
      <c r="I10" s="25" t="s">
        <v>33</v>
      </c>
      <c r="J10" s="24" t="s">
        <v>76</v>
      </c>
      <c r="K10" s="27" t="s">
        <v>76</v>
      </c>
      <c r="L10" s="26" t="s">
        <v>76</v>
      </c>
    </row>
    <row r="11" ht="56.4" customHeight="1" spans="1:12" x14ac:dyDescent="0.25">
      <c r="A11" s="28" t="s">
        <v>135</v>
      </c>
      <c r="B11" s="29" t="s">
        <v>130</v>
      </c>
      <c r="C11" s="29" t="s">
        <v>136</v>
      </c>
      <c r="D11" s="30" t="s">
        <v>97</v>
      </c>
      <c r="E11" s="29" t="s">
        <v>137</v>
      </c>
      <c r="F11" s="29" t="s">
        <v>138</v>
      </c>
      <c r="G11" s="29" t="s">
        <v>139</v>
      </c>
      <c r="H11" s="26" t="s">
        <v>76</v>
      </c>
      <c r="I11" s="30" t="s">
        <v>33</v>
      </c>
      <c r="J11" s="29" t="s">
        <v>76</v>
      </c>
      <c r="K11" s="31" t="s">
        <v>76</v>
      </c>
      <c r="L11" s="26" t="s">
        <v>76</v>
      </c>
    </row>
    <row r="12" ht="69" customHeight="1" spans="1:12" x14ac:dyDescent="0.25">
      <c r="A12" s="23" t="s">
        <v>140</v>
      </c>
      <c r="B12" s="24" t="s">
        <v>130</v>
      </c>
      <c r="C12" s="24" t="s">
        <v>141</v>
      </c>
      <c r="D12" s="25" t="s">
        <v>97</v>
      </c>
      <c r="E12" s="24" t="s">
        <v>137</v>
      </c>
      <c r="F12" s="24" t="s">
        <v>142</v>
      </c>
      <c r="G12" s="24" t="s">
        <v>143</v>
      </c>
      <c r="H12" s="26" t="s">
        <v>76</v>
      </c>
      <c r="I12" s="25" t="s">
        <v>33</v>
      </c>
      <c r="J12" s="24" t="s">
        <v>76</v>
      </c>
      <c r="K12" s="27" t="s">
        <v>76</v>
      </c>
      <c r="L12" s="26" t="s">
        <v>76</v>
      </c>
    </row>
    <row r="13" ht="69" customHeight="1" spans="1:12" x14ac:dyDescent="0.25">
      <c r="A13" s="28" t="s">
        <v>144</v>
      </c>
      <c r="B13" s="29" t="s">
        <v>130</v>
      </c>
      <c r="C13" s="29" t="s">
        <v>145</v>
      </c>
      <c r="D13" s="30" t="s">
        <v>103</v>
      </c>
      <c r="E13" s="29" t="s">
        <v>137</v>
      </c>
      <c r="F13" s="29" t="s">
        <v>146</v>
      </c>
      <c r="G13" s="29" t="s">
        <v>147</v>
      </c>
      <c r="H13" s="26" t="s">
        <v>76</v>
      </c>
      <c r="I13" s="30" t="s">
        <v>33</v>
      </c>
      <c r="J13" s="29" t="s">
        <v>76</v>
      </c>
      <c r="K13" s="31" t="s">
        <v>76</v>
      </c>
      <c r="L13" s="26" t="s">
        <v>76</v>
      </c>
    </row>
    <row r="14" ht="69" customHeight="1" spans="1:12" x14ac:dyDescent="0.25">
      <c r="A14" s="23" t="s">
        <v>148</v>
      </c>
      <c r="B14" s="24" t="s">
        <v>130</v>
      </c>
      <c r="C14" s="24" t="s">
        <v>149</v>
      </c>
      <c r="D14" s="25" t="s">
        <v>150</v>
      </c>
      <c r="E14" s="24" t="s">
        <v>151</v>
      </c>
      <c r="F14" s="24" t="s">
        <v>152</v>
      </c>
      <c r="G14" s="24" t="s">
        <v>153</v>
      </c>
      <c r="H14" s="26" t="s">
        <v>76</v>
      </c>
      <c r="I14" s="25" t="s">
        <v>33</v>
      </c>
      <c r="J14" s="24" t="s">
        <v>76</v>
      </c>
      <c r="K14" s="27" t="s">
        <v>76</v>
      </c>
      <c r="L14" s="26" t="s">
        <v>76</v>
      </c>
    </row>
    <row r="15" ht="43.8" customHeight="1" spans="1:12" x14ac:dyDescent="0.25">
      <c r="A15" s="28" t="s">
        <v>154</v>
      </c>
      <c r="B15" s="29" t="s">
        <v>155</v>
      </c>
      <c r="C15" s="29" t="s">
        <v>156</v>
      </c>
      <c r="D15" s="30" t="s">
        <v>97</v>
      </c>
      <c r="E15" s="29" t="s">
        <v>157</v>
      </c>
      <c r="F15" s="29" t="s">
        <v>158</v>
      </c>
      <c r="G15" s="29" t="s">
        <v>159</v>
      </c>
      <c r="H15" s="26" t="s">
        <v>76</v>
      </c>
      <c r="I15" s="30" t="s">
        <v>33</v>
      </c>
      <c r="J15" s="29" t="s">
        <v>76</v>
      </c>
      <c r="K15" s="31" t="s">
        <v>76</v>
      </c>
      <c r="L15" s="26" t="s">
        <v>76</v>
      </c>
    </row>
    <row r="16" ht="81.6" customHeight="1" spans="1:12" x14ac:dyDescent="0.25">
      <c r="A16" s="23" t="s">
        <v>160</v>
      </c>
      <c r="B16" s="24" t="s">
        <v>155</v>
      </c>
      <c r="C16" s="24" t="s">
        <v>161</v>
      </c>
      <c r="D16" s="25" t="s">
        <v>97</v>
      </c>
      <c r="E16" s="24" t="s">
        <v>157</v>
      </c>
      <c r="F16" s="24" t="s">
        <v>162</v>
      </c>
      <c r="G16" s="24" t="s">
        <v>163</v>
      </c>
      <c r="H16" s="26" t="s">
        <v>76</v>
      </c>
      <c r="I16" s="25" t="s">
        <v>33</v>
      </c>
      <c r="J16" s="24" t="s">
        <v>76</v>
      </c>
      <c r="K16" s="27" t="s">
        <v>76</v>
      </c>
      <c r="L16" s="26" t="s">
        <v>76</v>
      </c>
    </row>
    <row r="17" ht="56.4" customHeight="1" spans="1:12" x14ac:dyDescent="0.25">
      <c r="A17" s="28" t="s">
        <v>164</v>
      </c>
      <c r="B17" s="29" t="s">
        <v>155</v>
      </c>
      <c r="C17" s="29" t="s">
        <v>165</v>
      </c>
      <c r="D17" s="30" t="s">
        <v>97</v>
      </c>
      <c r="E17" s="29" t="s">
        <v>166</v>
      </c>
      <c r="F17" s="29" t="s">
        <v>167</v>
      </c>
      <c r="G17" s="29" t="s">
        <v>168</v>
      </c>
      <c r="H17" s="26" t="s">
        <v>76</v>
      </c>
      <c r="I17" s="30" t="s">
        <v>33</v>
      </c>
      <c r="J17" s="29" t="s">
        <v>76</v>
      </c>
      <c r="K17" s="31" t="s">
        <v>76</v>
      </c>
      <c r="L17" s="26" t="s">
        <v>76</v>
      </c>
    </row>
    <row r="18" ht="69" customHeight="1" spans="1:12" x14ac:dyDescent="0.25">
      <c r="A18" s="23" t="s">
        <v>169</v>
      </c>
      <c r="B18" s="24" t="s">
        <v>170</v>
      </c>
      <c r="C18" s="24" t="s">
        <v>171</v>
      </c>
      <c r="D18" s="25" t="s">
        <v>97</v>
      </c>
      <c r="E18" s="24" t="s">
        <v>157</v>
      </c>
      <c r="F18" s="24" t="s">
        <v>172</v>
      </c>
      <c r="G18" s="24" t="s">
        <v>173</v>
      </c>
      <c r="H18" s="26" t="s">
        <v>76</v>
      </c>
      <c r="I18" s="25" t="s">
        <v>33</v>
      </c>
      <c r="J18" s="24" t="s">
        <v>76</v>
      </c>
      <c r="K18" s="27" t="s">
        <v>76</v>
      </c>
      <c r="L18" s="26" t="s">
        <v>76</v>
      </c>
    </row>
    <row r="19" ht="56.4" customHeight="1" spans="1:12" x14ac:dyDescent="0.25">
      <c r="A19" s="28" t="s">
        <v>174</v>
      </c>
      <c r="B19" s="29" t="s">
        <v>170</v>
      </c>
      <c r="C19" s="29" t="s">
        <v>175</v>
      </c>
      <c r="D19" s="30" t="s">
        <v>103</v>
      </c>
      <c r="E19" s="29" t="s">
        <v>176</v>
      </c>
      <c r="F19" s="29" t="s">
        <v>177</v>
      </c>
      <c r="G19" s="29" t="s">
        <v>178</v>
      </c>
      <c r="H19" s="26" t="s">
        <v>76</v>
      </c>
      <c r="I19" s="30" t="s">
        <v>33</v>
      </c>
      <c r="J19" s="29" t="s">
        <v>76</v>
      </c>
      <c r="K19" s="31" t="s">
        <v>76</v>
      </c>
      <c r="L19" s="26" t="s">
        <v>76</v>
      </c>
    </row>
    <row r="20" ht="69" customHeight="1" spans="1:12" x14ac:dyDescent="0.25">
      <c r="A20" s="23" t="s">
        <v>179</v>
      </c>
      <c r="B20" s="24" t="s">
        <v>170</v>
      </c>
      <c r="C20" s="24" t="s">
        <v>180</v>
      </c>
      <c r="D20" s="25" t="s">
        <v>97</v>
      </c>
      <c r="E20" s="24" t="s">
        <v>181</v>
      </c>
      <c r="F20" s="24" t="s">
        <v>182</v>
      </c>
      <c r="G20" s="24" t="s">
        <v>183</v>
      </c>
      <c r="H20" s="26" t="s">
        <v>76</v>
      </c>
      <c r="I20" s="25" t="s">
        <v>33</v>
      </c>
      <c r="J20" s="24" t="s">
        <v>76</v>
      </c>
      <c r="K20" s="27" t="s">
        <v>76</v>
      </c>
      <c r="L20" s="26" t="s">
        <v>76</v>
      </c>
    </row>
    <row r="21" ht="43.8" customHeight="1" spans="1:12" x14ac:dyDescent="0.25">
      <c r="A21" s="28" t="s">
        <v>184</v>
      </c>
      <c r="B21" s="29" t="s">
        <v>185</v>
      </c>
      <c r="C21" s="29" t="s">
        <v>186</v>
      </c>
      <c r="D21" s="30" t="s">
        <v>97</v>
      </c>
      <c r="E21" s="29" t="s">
        <v>187</v>
      </c>
      <c r="F21" s="29" t="s">
        <v>188</v>
      </c>
      <c r="G21" s="29" t="s">
        <v>189</v>
      </c>
      <c r="H21" s="26" t="s">
        <v>76</v>
      </c>
      <c r="I21" s="30" t="s">
        <v>33</v>
      </c>
      <c r="J21" s="29" t="s">
        <v>76</v>
      </c>
      <c r="K21" s="31" t="s">
        <v>76</v>
      </c>
      <c r="L21" s="26" t="s">
        <v>76</v>
      </c>
    </row>
    <row r="22" ht="56.4" customHeight="1" spans="1:12" x14ac:dyDescent="0.25">
      <c r="A22" s="23" t="s">
        <v>190</v>
      </c>
      <c r="B22" s="24" t="s">
        <v>185</v>
      </c>
      <c r="C22" s="24" t="s">
        <v>191</v>
      </c>
      <c r="D22" s="25" t="s">
        <v>97</v>
      </c>
      <c r="E22" s="24" t="s">
        <v>192</v>
      </c>
      <c r="F22" s="24" t="s">
        <v>193</v>
      </c>
      <c r="G22" s="24" t="s">
        <v>194</v>
      </c>
      <c r="H22" s="26" t="s">
        <v>76</v>
      </c>
      <c r="I22" s="25" t="s">
        <v>33</v>
      </c>
      <c r="J22" s="24" t="s">
        <v>76</v>
      </c>
      <c r="K22" s="27" t="s">
        <v>76</v>
      </c>
      <c r="L22" s="26" t="s">
        <v>76</v>
      </c>
    </row>
    <row r="23" ht="56.4" customHeight="1" spans="1:12" x14ac:dyDescent="0.25">
      <c r="A23" s="28" t="s">
        <v>195</v>
      </c>
      <c r="B23" s="29" t="s">
        <v>185</v>
      </c>
      <c r="C23" s="29" t="s">
        <v>196</v>
      </c>
      <c r="D23" s="30" t="s">
        <v>97</v>
      </c>
      <c r="E23" s="29" t="s">
        <v>197</v>
      </c>
      <c r="F23" s="29" t="s">
        <v>198</v>
      </c>
      <c r="G23" s="29" t="s">
        <v>199</v>
      </c>
      <c r="H23" s="26" t="s">
        <v>76</v>
      </c>
      <c r="I23" s="30" t="s">
        <v>33</v>
      </c>
      <c r="J23" s="29" t="s">
        <v>76</v>
      </c>
      <c r="K23" s="31" t="s">
        <v>76</v>
      </c>
      <c r="L23" s="26" t="s">
        <v>76</v>
      </c>
    </row>
    <row r="24" ht="94.2" customHeight="1" spans="1:12" x14ac:dyDescent="0.25">
      <c r="A24" s="23" t="s">
        <v>200</v>
      </c>
      <c r="B24" s="24" t="s">
        <v>185</v>
      </c>
      <c r="C24" s="24" t="s">
        <v>201</v>
      </c>
      <c r="D24" s="25" t="s">
        <v>97</v>
      </c>
      <c r="E24" s="24" t="s">
        <v>202</v>
      </c>
      <c r="F24" s="24" t="s">
        <v>203</v>
      </c>
      <c r="G24" s="24" t="s">
        <v>204</v>
      </c>
      <c r="H24" s="26" t="s">
        <v>76</v>
      </c>
      <c r="I24" s="25" t="s">
        <v>33</v>
      </c>
      <c r="J24" s="24" t="s">
        <v>76</v>
      </c>
      <c r="K24" s="27" t="s">
        <v>76</v>
      </c>
      <c r="L24" s="26" t="s">
        <v>76</v>
      </c>
    </row>
    <row r="25" ht="56.4" customHeight="1" spans="1:12" x14ac:dyDescent="0.25">
      <c r="A25" s="28" t="s">
        <v>205</v>
      </c>
      <c r="B25" s="29" t="s">
        <v>206</v>
      </c>
      <c r="C25" s="29" t="s">
        <v>207</v>
      </c>
      <c r="D25" s="30" t="s">
        <v>103</v>
      </c>
      <c r="E25" s="29" t="s">
        <v>208</v>
      </c>
      <c r="F25" s="29" t="s">
        <v>209</v>
      </c>
      <c r="G25" s="29" t="s">
        <v>210</v>
      </c>
      <c r="H25" s="26" t="s">
        <v>76</v>
      </c>
      <c r="I25" s="30" t="s">
        <v>33</v>
      </c>
      <c r="J25" s="29" t="s">
        <v>76</v>
      </c>
      <c r="K25" s="31" t="s">
        <v>76</v>
      </c>
      <c r="L25" s="26" t="s">
        <v>76</v>
      </c>
    </row>
    <row r="26" ht="56.4" customHeight="1" spans="1:12" x14ac:dyDescent="0.25">
      <c r="A26" s="23" t="s">
        <v>211</v>
      </c>
      <c r="B26" s="24" t="s">
        <v>212</v>
      </c>
      <c r="C26" s="24" t="s">
        <v>213</v>
      </c>
      <c r="D26" s="25" t="s">
        <v>97</v>
      </c>
      <c r="E26" s="24" t="s">
        <v>214</v>
      </c>
      <c r="F26" s="24" t="s">
        <v>215</v>
      </c>
      <c r="G26" s="24" t="s">
        <v>216</v>
      </c>
      <c r="H26" s="26" t="s">
        <v>76</v>
      </c>
      <c r="I26" s="25" t="s">
        <v>33</v>
      </c>
      <c r="J26" s="24" t="s">
        <v>76</v>
      </c>
      <c r="K26" s="27" t="s">
        <v>76</v>
      </c>
      <c r="L26" s="26" t="s">
        <v>76</v>
      </c>
    </row>
    <row r="27" ht="56.4" customHeight="1" spans="1:12" x14ac:dyDescent="0.25">
      <c r="A27" s="28" t="s">
        <v>217</v>
      </c>
      <c r="B27" s="29" t="s">
        <v>218</v>
      </c>
      <c r="C27" s="29" t="s">
        <v>219</v>
      </c>
      <c r="D27" s="30" t="s">
        <v>103</v>
      </c>
      <c r="E27" s="29" t="s">
        <v>220</v>
      </c>
      <c r="F27" s="29" t="s">
        <v>221</v>
      </c>
      <c r="G27" s="29" t="s">
        <v>222</v>
      </c>
      <c r="H27" s="26" t="s">
        <v>76</v>
      </c>
      <c r="I27" s="30" t="s">
        <v>33</v>
      </c>
      <c r="J27" s="29" t="s">
        <v>76</v>
      </c>
      <c r="K27" s="31" t="s">
        <v>76</v>
      </c>
      <c r="L27" s="26" t="s">
        <v>76</v>
      </c>
    </row>
    <row r="28" ht="56.4" customHeight="1" spans="1:12" x14ac:dyDescent="0.25">
      <c r="A28" s="23" t="s">
        <v>223</v>
      </c>
      <c r="B28" s="24" t="s">
        <v>224</v>
      </c>
      <c r="C28" s="24" t="s">
        <v>225</v>
      </c>
      <c r="D28" s="25" t="s">
        <v>97</v>
      </c>
      <c r="E28" s="24" t="s">
        <v>226</v>
      </c>
      <c r="F28" s="24" t="s">
        <v>227</v>
      </c>
      <c r="G28" s="24" t="s">
        <v>228</v>
      </c>
      <c r="H28" s="26" t="s">
        <v>76</v>
      </c>
      <c r="I28" s="25" t="s">
        <v>33</v>
      </c>
      <c r="J28" s="24" t="s">
        <v>76</v>
      </c>
      <c r="K28" s="27" t="s">
        <v>76</v>
      </c>
      <c r="L28" s="26" t="s">
        <v>76</v>
      </c>
    </row>
    <row r="29" ht="69" customHeight="1" spans="1:12" x14ac:dyDescent="0.25">
      <c r="A29" s="28" t="s">
        <v>229</v>
      </c>
      <c r="B29" s="29" t="s">
        <v>230</v>
      </c>
      <c r="C29" s="29" t="s">
        <v>231</v>
      </c>
      <c r="D29" s="30" t="s">
        <v>103</v>
      </c>
      <c r="E29" s="29" t="s">
        <v>232</v>
      </c>
      <c r="F29" s="29" t="s">
        <v>233</v>
      </c>
      <c r="G29" s="29" t="s">
        <v>234</v>
      </c>
      <c r="H29" s="26" t="s">
        <v>76</v>
      </c>
      <c r="I29" s="30" t="s">
        <v>33</v>
      </c>
      <c r="J29" s="29" t="s">
        <v>76</v>
      </c>
      <c r="K29" s="31" t="s">
        <v>76</v>
      </c>
      <c r="L29" s="26" t="s">
        <v>76</v>
      </c>
    </row>
  </sheetData>
  <autoFilter ref="A3:L29"/>
  <mergeCells count="2">
    <mergeCell ref="A1:L1"/>
    <mergeCell ref="A2:L2"/>
  </mergeCells>
  <conditionalFormatting sqref="I4:I29">
    <cfRule type="cellIs" dxfId="2" priority="1" operator="equal">
      <formula>"Pass"</formula>
    </cfRule>
    <cfRule type="cellIs" dxfId="3" priority="2" operator="equal">
      <formula>"Fail"</formula>
    </cfRule>
    <cfRule type="cellIs" dxfId="4" priority="3" operator="equal">
      <formula>"Blocked"</formula>
    </cfRule>
    <cfRule type="cellIs" dxfId="5" priority="4" operator="equal">
      <formula>"N/A"</formula>
    </cfRule>
    <cfRule type="cellIs" dxfId="6" priority="5" operator="equal">
      <formula>"Not run"</formula>
    </cfRule>
  </conditionalFormatting>
  <conditionalFormatting sqref="D4:D29">
    <cfRule type="cellIs" dxfId="7" priority="6" operator="equal">
      <formula>"High"</formula>
    </cfRule>
  </conditionalFormatting>
  <dataValidations count="2">
    <dataValidation type="list" allowBlank="1" sqref="D4:D29">
      <formula1>"High,Medium,Low"</formula1>
    </dataValidation>
    <dataValidation type="list" showErrorMessage="1" errorTitle="Pick a status" error="Use Not run, Pass, Fail, Blocked or N/A." sqref="I4:I29">
      <formula1>"Not run,Pass,Fail,Blocked,N/A"</formula1>
    </dataValidation>
  </dataValidations>
  <pageMargins left="0.3" right="0.3" top="0.4" bottom="0.4" header="0.2" footer="0.2"/>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235</v>
      </c>
      <c r="B1" s="1"/>
      <c r="C1" s="1"/>
      <c r="D1" s="1"/>
      <c r="E1" s="1"/>
      <c r="F1" s="1"/>
      <c r="G1" s="1"/>
      <c r="H1" s="1"/>
      <c r="I1" s="1"/>
      <c r="J1" s="1"/>
      <c r="K1" s="1"/>
      <c r="L1" s="1"/>
    </row>
    <row r="2" ht="18" customHeight="1" spans="1:12" x14ac:dyDescent="0.25">
      <c r="A2" s="2" t="s">
        <v>236</v>
      </c>
      <c r="B2" s="2"/>
      <c r="C2" s="2"/>
      <c r="D2" s="2"/>
      <c r="E2" s="2"/>
      <c r="F2" s="2"/>
      <c r="G2" s="2"/>
      <c r="H2" s="2"/>
      <c r="I2" s="2"/>
      <c r="J2" s="2"/>
      <c r="K2" s="2"/>
      <c r="L2" s="2"/>
    </row>
    <row r="3" ht="24" customHeight="1" spans="1:12" x14ac:dyDescent="0.25">
      <c r="A3" s="8" t="s">
        <v>85</v>
      </c>
      <c r="B3" s="8" t="s">
        <v>86</v>
      </c>
      <c r="C3" s="8" t="s">
        <v>87</v>
      </c>
      <c r="D3" s="8" t="s">
        <v>43</v>
      </c>
      <c r="E3" s="8" t="s">
        <v>88</v>
      </c>
      <c r="F3" s="8" t="s">
        <v>89</v>
      </c>
      <c r="G3" s="8" t="s">
        <v>90</v>
      </c>
      <c r="H3" s="8" t="s">
        <v>91</v>
      </c>
      <c r="I3" s="8" t="s">
        <v>92</v>
      </c>
      <c r="J3" s="8" t="s">
        <v>16</v>
      </c>
      <c r="K3" s="8" t="s">
        <v>77</v>
      </c>
      <c r="L3" s="8" t="s">
        <v>93</v>
      </c>
    </row>
    <row r="4" ht="56.4" customHeight="1" spans="1:12" x14ac:dyDescent="0.25">
      <c r="A4" s="23" t="s">
        <v>237</v>
      </c>
      <c r="B4" s="24" t="s">
        <v>238</v>
      </c>
      <c r="C4" s="24" t="s">
        <v>239</v>
      </c>
      <c r="D4" s="25" t="s">
        <v>97</v>
      </c>
      <c r="E4" s="24" t="s">
        <v>220</v>
      </c>
      <c r="F4" s="24" t="s">
        <v>240</v>
      </c>
      <c r="G4" s="24" t="s">
        <v>241</v>
      </c>
      <c r="H4" s="26" t="s">
        <v>76</v>
      </c>
      <c r="I4" s="25" t="s">
        <v>33</v>
      </c>
      <c r="J4" s="24" t="s">
        <v>76</v>
      </c>
      <c r="K4" s="27" t="s">
        <v>76</v>
      </c>
      <c r="L4" s="26" t="s">
        <v>76</v>
      </c>
    </row>
    <row r="5" ht="69" customHeight="1" spans="1:12" x14ac:dyDescent="0.25">
      <c r="A5" s="28" t="s">
        <v>242</v>
      </c>
      <c r="B5" s="29" t="s">
        <v>238</v>
      </c>
      <c r="C5" s="29" t="s">
        <v>243</v>
      </c>
      <c r="D5" s="30" t="s">
        <v>97</v>
      </c>
      <c r="E5" s="29" t="s">
        <v>244</v>
      </c>
      <c r="F5" s="29" t="s">
        <v>245</v>
      </c>
      <c r="G5" s="29" t="s">
        <v>246</v>
      </c>
      <c r="H5" s="26" t="s">
        <v>76</v>
      </c>
      <c r="I5" s="30" t="s">
        <v>33</v>
      </c>
      <c r="J5" s="29" t="s">
        <v>76</v>
      </c>
      <c r="K5" s="31" t="s">
        <v>76</v>
      </c>
      <c r="L5" s="26" t="s">
        <v>76</v>
      </c>
    </row>
    <row r="6" ht="43.8" customHeight="1" spans="1:12" x14ac:dyDescent="0.25">
      <c r="A6" s="23" t="s">
        <v>247</v>
      </c>
      <c r="B6" s="24" t="s">
        <v>238</v>
      </c>
      <c r="C6" s="24" t="s">
        <v>248</v>
      </c>
      <c r="D6" s="25" t="s">
        <v>103</v>
      </c>
      <c r="E6" s="24" t="s">
        <v>249</v>
      </c>
      <c r="F6" s="24" t="s">
        <v>250</v>
      </c>
      <c r="G6" s="24" t="s">
        <v>251</v>
      </c>
      <c r="H6" s="26" t="s">
        <v>76</v>
      </c>
      <c r="I6" s="25" t="s">
        <v>33</v>
      </c>
      <c r="J6" s="24" t="s">
        <v>76</v>
      </c>
      <c r="K6" s="27" t="s">
        <v>76</v>
      </c>
      <c r="L6" s="26" t="s">
        <v>76</v>
      </c>
    </row>
    <row r="7" ht="56.4" customHeight="1" spans="1:12" x14ac:dyDescent="0.25">
      <c r="A7" s="28" t="s">
        <v>252</v>
      </c>
      <c r="B7" s="29" t="s">
        <v>253</v>
      </c>
      <c r="C7" s="29" t="s">
        <v>254</v>
      </c>
      <c r="D7" s="30" t="s">
        <v>103</v>
      </c>
      <c r="E7" s="29" t="s">
        <v>226</v>
      </c>
      <c r="F7" s="29" t="s">
        <v>255</v>
      </c>
      <c r="G7" s="29" t="s">
        <v>256</v>
      </c>
      <c r="H7" s="26" t="s">
        <v>76</v>
      </c>
      <c r="I7" s="30" t="s">
        <v>33</v>
      </c>
      <c r="J7" s="29" t="s">
        <v>76</v>
      </c>
      <c r="K7" s="31" t="s">
        <v>76</v>
      </c>
      <c r="L7" s="26" t="s">
        <v>76</v>
      </c>
    </row>
    <row r="8" ht="31.2" customHeight="1" spans="1:12" x14ac:dyDescent="0.25">
      <c r="A8" s="23" t="s">
        <v>257</v>
      </c>
      <c r="B8" s="24" t="s">
        <v>253</v>
      </c>
      <c r="C8" s="24" t="s">
        <v>258</v>
      </c>
      <c r="D8" s="25" t="s">
        <v>97</v>
      </c>
      <c r="E8" s="24" t="s">
        <v>226</v>
      </c>
      <c r="F8" s="24" t="s">
        <v>259</v>
      </c>
      <c r="G8" s="24" t="s">
        <v>260</v>
      </c>
      <c r="H8" s="26" t="s">
        <v>76</v>
      </c>
      <c r="I8" s="25" t="s">
        <v>33</v>
      </c>
      <c r="J8" s="24" t="s">
        <v>76</v>
      </c>
      <c r="K8" s="27" t="s">
        <v>76</v>
      </c>
      <c r="L8" s="26" t="s">
        <v>76</v>
      </c>
    </row>
    <row r="9" ht="31.2" customHeight="1" spans="1:12" x14ac:dyDescent="0.25">
      <c r="A9" s="28" t="s">
        <v>261</v>
      </c>
      <c r="B9" s="29" t="s">
        <v>262</v>
      </c>
      <c r="C9" s="29" t="s">
        <v>263</v>
      </c>
      <c r="D9" s="30" t="s">
        <v>103</v>
      </c>
      <c r="E9" s="29" t="s">
        <v>220</v>
      </c>
      <c r="F9" s="29" t="s">
        <v>264</v>
      </c>
      <c r="G9" s="29" t="s">
        <v>265</v>
      </c>
      <c r="H9" s="26" t="s">
        <v>76</v>
      </c>
      <c r="I9" s="30" t="s">
        <v>33</v>
      </c>
      <c r="J9" s="29" t="s">
        <v>76</v>
      </c>
      <c r="K9" s="31" t="s">
        <v>76</v>
      </c>
      <c r="L9" s="26" t="s">
        <v>76</v>
      </c>
    </row>
    <row r="10" ht="56.4" customHeight="1" spans="1:12" x14ac:dyDescent="0.25">
      <c r="A10" s="23" t="s">
        <v>266</v>
      </c>
      <c r="B10" s="24" t="s">
        <v>262</v>
      </c>
      <c r="C10" s="24" t="s">
        <v>267</v>
      </c>
      <c r="D10" s="25" t="s">
        <v>97</v>
      </c>
      <c r="E10" s="24" t="s">
        <v>268</v>
      </c>
      <c r="F10" s="24" t="s">
        <v>269</v>
      </c>
      <c r="G10" s="24" t="s">
        <v>270</v>
      </c>
      <c r="H10" s="26" t="s">
        <v>76</v>
      </c>
      <c r="I10" s="25" t="s">
        <v>33</v>
      </c>
      <c r="J10" s="24" t="s">
        <v>76</v>
      </c>
      <c r="K10" s="27" t="s">
        <v>76</v>
      </c>
      <c r="L10" s="26" t="s">
        <v>76</v>
      </c>
    </row>
    <row r="11" ht="56.4" customHeight="1" spans="1:12" x14ac:dyDescent="0.25">
      <c r="A11" s="28" t="s">
        <v>271</v>
      </c>
      <c r="B11" s="29" t="s">
        <v>262</v>
      </c>
      <c r="C11" s="29" t="s">
        <v>272</v>
      </c>
      <c r="D11" s="30" t="s">
        <v>103</v>
      </c>
      <c r="E11" s="29" t="s">
        <v>220</v>
      </c>
      <c r="F11" s="29" t="s">
        <v>273</v>
      </c>
      <c r="G11" s="29" t="s">
        <v>274</v>
      </c>
      <c r="H11" s="26" t="s">
        <v>76</v>
      </c>
      <c r="I11" s="30" t="s">
        <v>33</v>
      </c>
      <c r="J11" s="29" t="s">
        <v>76</v>
      </c>
      <c r="K11" s="31" t="s">
        <v>76</v>
      </c>
      <c r="L11" s="26" t="s">
        <v>76</v>
      </c>
    </row>
    <row r="12" ht="56.4" customHeight="1" spans="1:12" x14ac:dyDescent="0.25">
      <c r="A12" s="23" t="s">
        <v>275</v>
      </c>
      <c r="B12" s="24" t="s">
        <v>262</v>
      </c>
      <c r="C12" s="24" t="s">
        <v>276</v>
      </c>
      <c r="D12" s="25" t="s">
        <v>103</v>
      </c>
      <c r="E12" s="24" t="s">
        <v>277</v>
      </c>
      <c r="F12" s="24" t="s">
        <v>278</v>
      </c>
      <c r="G12" s="24" t="s">
        <v>279</v>
      </c>
      <c r="H12" s="26" t="s">
        <v>76</v>
      </c>
      <c r="I12" s="25" t="s">
        <v>33</v>
      </c>
      <c r="J12" s="24" t="s">
        <v>76</v>
      </c>
      <c r="K12" s="27" t="s">
        <v>76</v>
      </c>
      <c r="L12" s="26" t="s">
        <v>76</v>
      </c>
    </row>
    <row r="13" ht="56.4" customHeight="1" spans="1:12" x14ac:dyDescent="0.25">
      <c r="A13" s="28" t="s">
        <v>280</v>
      </c>
      <c r="B13" s="29" t="s">
        <v>281</v>
      </c>
      <c r="C13" s="29" t="s">
        <v>282</v>
      </c>
      <c r="D13" s="30" t="s">
        <v>97</v>
      </c>
      <c r="E13" s="29" t="s">
        <v>277</v>
      </c>
      <c r="F13" s="29" t="s">
        <v>283</v>
      </c>
      <c r="G13" s="29" t="s">
        <v>284</v>
      </c>
      <c r="H13" s="26" t="s">
        <v>76</v>
      </c>
      <c r="I13" s="30" t="s">
        <v>33</v>
      </c>
      <c r="J13" s="29" t="s">
        <v>76</v>
      </c>
      <c r="K13" s="31" t="s">
        <v>76</v>
      </c>
      <c r="L13" s="26" t="s">
        <v>76</v>
      </c>
    </row>
    <row r="14" ht="56.4" customHeight="1" spans="1:12" x14ac:dyDescent="0.25">
      <c r="A14" s="23" t="s">
        <v>285</v>
      </c>
      <c r="B14" s="24" t="s">
        <v>281</v>
      </c>
      <c r="C14" s="24" t="s">
        <v>286</v>
      </c>
      <c r="D14" s="25" t="s">
        <v>97</v>
      </c>
      <c r="E14" s="24" t="s">
        <v>287</v>
      </c>
      <c r="F14" s="24" t="s">
        <v>288</v>
      </c>
      <c r="G14" s="24" t="s">
        <v>289</v>
      </c>
      <c r="H14" s="26" t="s">
        <v>76</v>
      </c>
      <c r="I14" s="25" t="s">
        <v>33</v>
      </c>
      <c r="J14" s="24" t="s">
        <v>76</v>
      </c>
      <c r="K14" s="27" t="s">
        <v>76</v>
      </c>
      <c r="L14" s="26" t="s">
        <v>76</v>
      </c>
    </row>
    <row r="15" ht="43.8" customHeight="1" spans="1:12" x14ac:dyDescent="0.25">
      <c r="A15" s="28" t="s">
        <v>290</v>
      </c>
      <c r="B15" s="29" t="s">
        <v>281</v>
      </c>
      <c r="C15" s="29" t="s">
        <v>291</v>
      </c>
      <c r="D15" s="30" t="s">
        <v>97</v>
      </c>
      <c r="E15" s="29" t="s">
        <v>292</v>
      </c>
      <c r="F15" s="29" t="s">
        <v>293</v>
      </c>
      <c r="G15" s="29" t="s">
        <v>294</v>
      </c>
      <c r="H15" s="26" t="s">
        <v>76</v>
      </c>
      <c r="I15" s="30" t="s">
        <v>33</v>
      </c>
      <c r="J15" s="29" t="s">
        <v>76</v>
      </c>
      <c r="K15" s="31" t="s">
        <v>76</v>
      </c>
      <c r="L15" s="26" t="s">
        <v>76</v>
      </c>
    </row>
    <row r="16" ht="43.8" customHeight="1" spans="1:12" x14ac:dyDescent="0.25">
      <c r="A16" s="23" t="s">
        <v>295</v>
      </c>
      <c r="B16" s="24" t="s">
        <v>281</v>
      </c>
      <c r="C16" s="24" t="s">
        <v>296</v>
      </c>
      <c r="D16" s="25" t="s">
        <v>97</v>
      </c>
      <c r="E16" s="24" t="s">
        <v>297</v>
      </c>
      <c r="F16" s="24" t="s">
        <v>298</v>
      </c>
      <c r="G16" s="24" t="s">
        <v>299</v>
      </c>
      <c r="H16" s="26" t="s">
        <v>76</v>
      </c>
      <c r="I16" s="25" t="s">
        <v>33</v>
      </c>
      <c r="J16" s="24" t="s">
        <v>76</v>
      </c>
      <c r="K16" s="27" t="s">
        <v>76</v>
      </c>
      <c r="L16" s="26" t="s">
        <v>76</v>
      </c>
    </row>
    <row r="17" ht="31.2" customHeight="1" spans="1:12" x14ac:dyDescent="0.25">
      <c r="A17" s="28" t="s">
        <v>300</v>
      </c>
      <c r="B17" s="29" t="s">
        <v>301</v>
      </c>
      <c r="C17" s="29" t="s">
        <v>302</v>
      </c>
      <c r="D17" s="30" t="s">
        <v>150</v>
      </c>
      <c r="E17" s="29" t="s">
        <v>220</v>
      </c>
      <c r="F17" s="29" t="s">
        <v>303</v>
      </c>
      <c r="G17" s="29" t="s">
        <v>304</v>
      </c>
      <c r="H17" s="26" t="s">
        <v>76</v>
      </c>
      <c r="I17" s="30" t="s">
        <v>33</v>
      </c>
      <c r="J17" s="29" t="s">
        <v>76</v>
      </c>
      <c r="K17" s="31" t="s">
        <v>76</v>
      </c>
      <c r="L17" s="26" t="s">
        <v>76</v>
      </c>
    </row>
    <row r="18" ht="43.8" customHeight="1" spans="1:12" x14ac:dyDescent="0.25">
      <c r="A18" s="23" t="s">
        <v>305</v>
      </c>
      <c r="B18" s="24" t="s">
        <v>306</v>
      </c>
      <c r="C18" s="24" t="s">
        <v>307</v>
      </c>
      <c r="D18" s="25" t="s">
        <v>103</v>
      </c>
      <c r="E18" s="24" t="s">
        <v>308</v>
      </c>
      <c r="F18" s="24" t="s">
        <v>309</v>
      </c>
      <c r="G18" s="24" t="s">
        <v>310</v>
      </c>
      <c r="H18" s="26" t="s">
        <v>76</v>
      </c>
      <c r="I18" s="25" t="s">
        <v>33</v>
      </c>
      <c r="J18" s="24" t="s">
        <v>76</v>
      </c>
      <c r="K18" s="27" t="s">
        <v>76</v>
      </c>
      <c r="L18" s="26" t="s">
        <v>76</v>
      </c>
    </row>
    <row r="19" ht="43.8" customHeight="1" spans="1:12" x14ac:dyDescent="0.25">
      <c r="A19" s="28" t="s">
        <v>311</v>
      </c>
      <c r="B19" s="29" t="s">
        <v>312</v>
      </c>
      <c r="C19" s="29" t="s">
        <v>313</v>
      </c>
      <c r="D19" s="30" t="s">
        <v>97</v>
      </c>
      <c r="E19" s="29" t="s">
        <v>314</v>
      </c>
      <c r="F19" s="29" t="s">
        <v>315</v>
      </c>
      <c r="G19" s="29" t="s">
        <v>316</v>
      </c>
      <c r="H19" s="26" t="s">
        <v>76</v>
      </c>
      <c r="I19" s="30" t="s">
        <v>33</v>
      </c>
      <c r="J19" s="29" t="s">
        <v>76</v>
      </c>
      <c r="K19" s="31" t="s">
        <v>76</v>
      </c>
      <c r="L19" s="26" t="s">
        <v>76</v>
      </c>
    </row>
    <row r="20" ht="43.8" customHeight="1" spans="1:12" x14ac:dyDescent="0.25">
      <c r="A20" s="23" t="s">
        <v>317</v>
      </c>
      <c r="B20" s="24" t="s">
        <v>318</v>
      </c>
      <c r="C20" s="24" t="s">
        <v>319</v>
      </c>
      <c r="D20" s="25" t="s">
        <v>97</v>
      </c>
      <c r="E20" s="24" t="s">
        <v>320</v>
      </c>
      <c r="F20" s="24" t="s">
        <v>321</v>
      </c>
      <c r="G20" s="24" t="s">
        <v>322</v>
      </c>
      <c r="H20" s="26" t="s">
        <v>76</v>
      </c>
      <c r="I20" s="25" t="s">
        <v>33</v>
      </c>
      <c r="J20" s="24" t="s">
        <v>76</v>
      </c>
      <c r="K20" s="27" t="s">
        <v>76</v>
      </c>
      <c r="L20" s="26" t="s">
        <v>76</v>
      </c>
    </row>
    <row r="21" ht="56.4" customHeight="1" spans="1:12" x14ac:dyDescent="0.25">
      <c r="A21" s="28" t="s">
        <v>323</v>
      </c>
      <c r="B21" s="29" t="s">
        <v>318</v>
      </c>
      <c r="C21" s="29" t="s">
        <v>324</v>
      </c>
      <c r="D21" s="30" t="s">
        <v>97</v>
      </c>
      <c r="E21" s="29" t="s">
        <v>325</v>
      </c>
      <c r="F21" s="29" t="s">
        <v>326</v>
      </c>
      <c r="G21" s="29" t="s">
        <v>327</v>
      </c>
      <c r="H21" s="26" t="s">
        <v>76</v>
      </c>
      <c r="I21" s="30" t="s">
        <v>33</v>
      </c>
      <c r="J21" s="29" t="s">
        <v>76</v>
      </c>
      <c r="K21" s="31" t="s">
        <v>76</v>
      </c>
      <c r="L21" s="26" t="s">
        <v>76</v>
      </c>
    </row>
    <row r="22" ht="43.8" customHeight="1" spans="1:12" x14ac:dyDescent="0.25">
      <c r="A22" s="23" t="s">
        <v>328</v>
      </c>
      <c r="B22" s="24" t="s">
        <v>318</v>
      </c>
      <c r="C22" s="24" t="s">
        <v>329</v>
      </c>
      <c r="D22" s="25" t="s">
        <v>103</v>
      </c>
      <c r="E22" s="24" t="s">
        <v>330</v>
      </c>
      <c r="F22" s="24" t="s">
        <v>331</v>
      </c>
      <c r="G22" s="24" t="s">
        <v>332</v>
      </c>
      <c r="H22" s="26" t="s">
        <v>76</v>
      </c>
      <c r="I22" s="25" t="s">
        <v>33</v>
      </c>
      <c r="J22" s="24" t="s">
        <v>76</v>
      </c>
      <c r="K22" s="27" t="s">
        <v>76</v>
      </c>
      <c r="L22" s="26" t="s">
        <v>76</v>
      </c>
    </row>
    <row r="23" ht="81.6" customHeight="1" spans="1:12" x14ac:dyDescent="0.25">
      <c r="A23" s="28" t="s">
        <v>333</v>
      </c>
      <c r="B23" s="29" t="s">
        <v>318</v>
      </c>
      <c r="C23" s="29" t="s">
        <v>334</v>
      </c>
      <c r="D23" s="30" t="s">
        <v>97</v>
      </c>
      <c r="E23" s="29" t="s">
        <v>335</v>
      </c>
      <c r="F23" s="29" t="s">
        <v>336</v>
      </c>
      <c r="G23" s="29" t="s">
        <v>337</v>
      </c>
      <c r="H23" s="26" t="s">
        <v>76</v>
      </c>
      <c r="I23" s="30" t="s">
        <v>33</v>
      </c>
      <c r="J23" s="29" t="s">
        <v>76</v>
      </c>
      <c r="K23" s="31" t="s">
        <v>76</v>
      </c>
      <c r="L23" s="26" t="s">
        <v>76</v>
      </c>
    </row>
    <row r="24" ht="69" customHeight="1" spans="1:12" x14ac:dyDescent="0.25">
      <c r="A24" s="23" t="s">
        <v>338</v>
      </c>
      <c r="B24" s="24" t="s">
        <v>318</v>
      </c>
      <c r="C24" s="24" t="s">
        <v>339</v>
      </c>
      <c r="D24" s="25" t="s">
        <v>97</v>
      </c>
      <c r="E24" s="24" t="s">
        <v>340</v>
      </c>
      <c r="F24" s="24" t="s">
        <v>341</v>
      </c>
      <c r="G24" s="24" t="s">
        <v>342</v>
      </c>
      <c r="H24" s="26" t="s">
        <v>76</v>
      </c>
      <c r="I24" s="25" t="s">
        <v>33</v>
      </c>
      <c r="J24" s="24" t="s">
        <v>76</v>
      </c>
      <c r="K24" s="27" t="s">
        <v>76</v>
      </c>
      <c r="L24" s="26" t="s">
        <v>76</v>
      </c>
    </row>
    <row r="25" ht="56.4" customHeight="1" spans="1:12" x14ac:dyDescent="0.25">
      <c r="A25" s="28" t="s">
        <v>343</v>
      </c>
      <c r="B25" s="29" t="s">
        <v>344</v>
      </c>
      <c r="C25" s="29" t="s">
        <v>345</v>
      </c>
      <c r="D25" s="30" t="s">
        <v>103</v>
      </c>
      <c r="E25" s="29" t="s">
        <v>346</v>
      </c>
      <c r="F25" s="29" t="s">
        <v>347</v>
      </c>
      <c r="G25" s="29" t="s">
        <v>348</v>
      </c>
      <c r="H25" s="26" t="s">
        <v>76</v>
      </c>
      <c r="I25" s="30" t="s">
        <v>33</v>
      </c>
      <c r="J25" s="29" t="s">
        <v>76</v>
      </c>
      <c r="K25" s="31" t="s">
        <v>76</v>
      </c>
      <c r="L25" s="26" t="s">
        <v>76</v>
      </c>
    </row>
    <row r="26" ht="56.4" customHeight="1" spans="1:12" x14ac:dyDescent="0.25">
      <c r="A26" s="23" t="s">
        <v>349</v>
      </c>
      <c r="B26" s="24" t="s">
        <v>318</v>
      </c>
      <c r="C26" s="24" t="s">
        <v>350</v>
      </c>
      <c r="D26" s="25" t="s">
        <v>97</v>
      </c>
      <c r="E26" s="24" t="s">
        <v>351</v>
      </c>
      <c r="F26" s="24" t="s">
        <v>352</v>
      </c>
      <c r="G26" s="24" t="s">
        <v>353</v>
      </c>
      <c r="H26" s="26" t="s">
        <v>76</v>
      </c>
      <c r="I26" s="25" t="s">
        <v>33</v>
      </c>
      <c r="J26" s="24" t="s">
        <v>76</v>
      </c>
      <c r="K26" s="27" t="s">
        <v>76</v>
      </c>
      <c r="L26" s="26" t="s">
        <v>76</v>
      </c>
    </row>
    <row r="27" ht="56.4" customHeight="1" spans="1:12" x14ac:dyDescent="0.25">
      <c r="A27" s="28" t="s">
        <v>354</v>
      </c>
      <c r="B27" s="29" t="s">
        <v>355</v>
      </c>
      <c r="C27" s="29" t="s">
        <v>356</v>
      </c>
      <c r="D27" s="30" t="s">
        <v>97</v>
      </c>
      <c r="E27" s="29" t="s">
        <v>357</v>
      </c>
      <c r="F27" s="29" t="s">
        <v>358</v>
      </c>
      <c r="G27" s="29" t="s">
        <v>359</v>
      </c>
      <c r="H27" s="26" t="s">
        <v>76</v>
      </c>
      <c r="I27" s="30" t="s">
        <v>33</v>
      </c>
      <c r="J27" s="29" t="s">
        <v>76</v>
      </c>
      <c r="K27" s="31" t="s">
        <v>76</v>
      </c>
      <c r="L27" s="26" t="s">
        <v>76</v>
      </c>
    </row>
    <row r="28" ht="69" customHeight="1" spans="1:12" x14ac:dyDescent="0.25">
      <c r="A28" s="23" t="s">
        <v>360</v>
      </c>
      <c r="B28" s="24" t="s">
        <v>361</v>
      </c>
      <c r="C28" s="24" t="s">
        <v>362</v>
      </c>
      <c r="D28" s="25" t="s">
        <v>103</v>
      </c>
      <c r="E28" s="24" t="s">
        <v>363</v>
      </c>
      <c r="F28" s="24" t="s">
        <v>364</v>
      </c>
      <c r="G28" s="24" t="s">
        <v>365</v>
      </c>
      <c r="H28" s="26" t="s">
        <v>76</v>
      </c>
      <c r="I28" s="25" t="s">
        <v>33</v>
      </c>
      <c r="J28" s="24" t="s">
        <v>76</v>
      </c>
      <c r="K28" s="27" t="s">
        <v>76</v>
      </c>
      <c r="L28" s="26" t="s">
        <v>76</v>
      </c>
    </row>
    <row r="29" ht="43.8" customHeight="1" spans="1:12" x14ac:dyDescent="0.25">
      <c r="A29" s="28" t="s">
        <v>366</v>
      </c>
      <c r="B29" s="29" t="s">
        <v>367</v>
      </c>
      <c r="C29" s="29" t="s">
        <v>368</v>
      </c>
      <c r="D29" s="30" t="s">
        <v>103</v>
      </c>
      <c r="E29" s="29" t="s">
        <v>369</v>
      </c>
      <c r="F29" s="29" t="s">
        <v>370</v>
      </c>
      <c r="G29" s="29" t="s">
        <v>371</v>
      </c>
      <c r="H29" s="26" t="s">
        <v>76</v>
      </c>
      <c r="I29" s="30" t="s">
        <v>33</v>
      </c>
      <c r="J29" s="29" t="s">
        <v>76</v>
      </c>
      <c r="K29" s="31" t="s">
        <v>76</v>
      </c>
      <c r="L29" s="26" t="s">
        <v>76</v>
      </c>
    </row>
    <row r="30" ht="69" customHeight="1" spans="1:12" x14ac:dyDescent="0.25">
      <c r="A30" s="23" t="s">
        <v>372</v>
      </c>
      <c r="B30" s="24" t="s">
        <v>373</v>
      </c>
      <c r="C30" s="24" t="s">
        <v>374</v>
      </c>
      <c r="D30" s="25" t="s">
        <v>103</v>
      </c>
      <c r="E30" s="24" t="s">
        <v>375</v>
      </c>
      <c r="F30" s="24" t="s">
        <v>376</v>
      </c>
      <c r="G30" s="24" t="s">
        <v>377</v>
      </c>
      <c r="H30" s="26" t="s">
        <v>76</v>
      </c>
      <c r="I30" s="25" t="s">
        <v>33</v>
      </c>
      <c r="J30" s="24" t="s">
        <v>76</v>
      </c>
      <c r="K30" s="27" t="s">
        <v>76</v>
      </c>
      <c r="L30" s="26" t="s">
        <v>76</v>
      </c>
    </row>
  </sheetData>
  <autoFilter ref="A3:L30"/>
  <mergeCells count="2">
    <mergeCell ref="A1:L1"/>
    <mergeCell ref="A2:L2"/>
  </mergeCells>
  <conditionalFormatting sqref="I4:I30">
    <cfRule type="cellIs" dxfId="8" priority="1" operator="equal">
      <formula>"Pass"</formula>
    </cfRule>
    <cfRule type="cellIs" dxfId="9" priority="2" operator="equal">
      <formula>"Fail"</formula>
    </cfRule>
    <cfRule type="cellIs" dxfId="10" priority="3" operator="equal">
      <formula>"Blocked"</formula>
    </cfRule>
    <cfRule type="cellIs" dxfId="11" priority="4" operator="equal">
      <formula>"N/A"</formula>
    </cfRule>
    <cfRule type="cellIs" dxfId="12" priority="5" operator="equal">
      <formula>"Not run"</formula>
    </cfRule>
  </conditionalFormatting>
  <conditionalFormatting sqref="D4:D30">
    <cfRule type="cellIs" dxfId="13" priority="6" operator="equal">
      <formula>"High"</formula>
    </cfRule>
  </conditionalFormatting>
  <dataValidations count="2">
    <dataValidation type="list" allowBlank="1" sqref="D4:D30">
      <formula1>"High,Medium,Low"</formula1>
    </dataValidation>
    <dataValidation type="list" showErrorMessage="1" errorTitle="Pick a status" error="Use Not run, Pass, Fail, Blocked or N/A." sqref="I4:I30">
      <formula1>"Not run,Pass,Fail,Blocked,N/A"</formula1>
    </dataValidation>
  </dataValidations>
  <pageMargins left="0.3" right="0.3" top="0.4" bottom="0.4" header="0.2" footer="0.2"/>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378</v>
      </c>
      <c r="B1" s="1"/>
      <c r="C1" s="1"/>
      <c r="D1" s="1"/>
      <c r="E1" s="1"/>
      <c r="F1" s="1"/>
      <c r="G1" s="1"/>
      <c r="H1" s="1"/>
      <c r="I1" s="1"/>
      <c r="J1" s="1"/>
      <c r="K1" s="1"/>
      <c r="L1" s="1"/>
    </row>
    <row r="2" ht="18" customHeight="1" spans="1:12" x14ac:dyDescent="0.25">
      <c r="A2" s="2" t="s">
        <v>379</v>
      </c>
      <c r="B2" s="2"/>
      <c r="C2" s="2"/>
      <c r="D2" s="2"/>
      <c r="E2" s="2"/>
      <c r="F2" s="2"/>
      <c r="G2" s="2"/>
      <c r="H2" s="2"/>
      <c r="I2" s="2"/>
      <c r="J2" s="2"/>
      <c r="K2" s="2"/>
      <c r="L2" s="2"/>
    </row>
    <row r="3" ht="24" customHeight="1" spans="1:12" x14ac:dyDescent="0.25">
      <c r="A3" s="8" t="s">
        <v>85</v>
      </c>
      <c r="B3" s="8" t="s">
        <v>86</v>
      </c>
      <c r="C3" s="8" t="s">
        <v>87</v>
      </c>
      <c r="D3" s="8" t="s">
        <v>43</v>
      </c>
      <c r="E3" s="8" t="s">
        <v>88</v>
      </c>
      <c r="F3" s="8" t="s">
        <v>89</v>
      </c>
      <c r="G3" s="8" t="s">
        <v>90</v>
      </c>
      <c r="H3" s="8" t="s">
        <v>91</v>
      </c>
      <c r="I3" s="8" t="s">
        <v>92</v>
      </c>
      <c r="J3" s="8" t="s">
        <v>16</v>
      </c>
      <c r="K3" s="8" t="s">
        <v>77</v>
      </c>
      <c r="L3" s="8" t="s">
        <v>93</v>
      </c>
    </row>
    <row r="4" ht="69" customHeight="1" spans="1:12" x14ac:dyDescent="0.25">
      <c r="A4" s="23" t="s">
        <v>380</v>
      </c>
      <c r="B4" s="24" t="s">
        <v>381</v>
      </c>
      <c r="C4" s="24" t="s">
        <v>382</v>
      </c>
      <c r="D4" s="25" t="s">
        <v>97</v>
      </c>
      <c r="E4" s="24" t="s">
        <v>383</v>
      </c>
      <c r="F4" s="24" t="s">
        <v>384</v>
      </c>
      <c r="G4" s="24" t="s">
        <v>385</v>
      </c>
      <c r="H4" s="26" t="s">
        <v>76</v>
      </c>
      <c r="I4" s="25" t="s">
        <v>33</v>
      </c>
      <c r="J4" s="24" t="s">
        <v>76</v>
      </c>
      <c r="K4" s="27" t="s">
        <v>76</v>
      </c>
      <c r="L4" s="26" t="s">
        <v>76</v>
      </c>
    </row>
    <row r="5" ht="56.4" customHeight="1" spans="1:12" x14ac:dyDescent="0.25">
      <c r="A5" s="28" t="s">
        <v>386</v>
      </c>
      <c r="B5" s="29" t="s">
        <v>381</v>
      </c>
      <c r="C5" s="29" t="s">
        <v>387</v>
      </c>
      <c r="D5" s="30" t="s">
        <v>97</v>
      </c>
      <c r="E5" s="29" t="s">
        <v>388</v>
      </c>
      <c r="F5" s="29" t="s">
        <v>389</v>
      </c>
      <c r="G5" s="29" t="s">
        <v>390</v>
      </c>
      <c r="H5" s="26" t="s">
        <v>76</v>
      </c>
      <c r="I5" s="30" t="s">
        <v>33</v>
      </c>
      <c r="J5" s="29" t="s">
        <v>76</v>
      </c>
      <c r="K5" s="31" t="s">
        <v>76</v>
      </c>
      <c r="L5" s="26" t="s">
        <v>76</v>
      </c>
    </row>
    <row r="6" ht="69" customHeight="1" spans="1:12" x14ac:dyDescent="0.25">
      <c r="A6" s="23" t="s">
        <v>391</v>
      </c>
      <c r="B6" s="24" t="s">
        <v>392</v>
      </c>
      <c r="C6" s="24" t="s">
        <v>393</v>
      </c>
      <c r="D6" s="25" t="s">
        <v>97</v>
      </c>
      <c r="E6" s="24" t="s">
        <v>394</v>
      </c>
      <c r="F6" s="24" t="s">
        <v>395</v>
      </c>
      <c r="G6" s="24" t="s">
        <v>396</v>
      </c>
      <c r="H6" s="26" t="s">
        <v>76</v>
      </c>
      <c r="I6" s="25" t="s">
        <v>33</v>
      </c>
      <c r="J6" s="24" t="s">
        <v>76</v>
      </c>
      <c r="K6" s="27" t="s">
        <v>76</v>
      </c>
      <c r="L6" s="26" t="s">
        <v>76</v>
      </c>
    </row>
    <row r="7" ht="43.8" customHeight="1" spans="1:12" x14ac:dyDescent="0.25">
      <c r="A7" s="28" t="s">
        <v>397</v>
      </c>
      <c r="B7" s="29" t="s">
        <v>392</v>
      </c>
      <c r="C7" s="29" t="s">
        <v>398</v>
      </c>
      <c r="D7" s="30" t="s">
        <v>103</v>
      </c>
      <c r="E7" s="29" t="s">
        <v>399</v>
      </c>
      <c r="F7" s="29" t="s">
        <v>400</v>
      </c>
      <c r="G7" s="29" t="s">
        <v>401</v>
      </c>
      <c r="H7" s="26" t="s">
        <v>76</v>
      </c>
      <c r="I7" s="30" t="s">
        <v>33</v>
      </c>
      <c r="J7" s="29" t="s">
        <v>76</v>
      </c>
      <c r="K7" s="31" t="s">
        <v>76</v>
      </c>
      <c r="L7" s="26" t="s">
        <v>76</v>
      </c>
    </row>
    <row r="8" ht="69" customHeight="1" spans="1:12" x14ac:dyDescent="0.25">
      <c r="A8" s="23" t="s">
        <v>402</v>
      </c>
      <c r="B8" s="24" t="s">
        <v>403</v>
      </c>
      <c r="C8" s="24" t="s">
        <v>404</v>
      </c>
      <c r="D8" s="25" t="s">
        <v>97</v>
      </c>
      <c r="E8" s="24" t="s">
        <v>405</v>
      </c>
      <c r="F8" s="24" t="s">
        <v>406</v>
      </c>
      <c r="G8" s="24" t="s">
        <v>407</v>
      </c>
      <c r="H8" s="26" t="s">
        <v>76</v>
      </c>
      <c r="I8" s="25" t="s">
        <v>33</v>
      </c>
      <c r="J8" s="24" t="s">
        <v>76</v>
      </c>
      <c r="K8" s="27" t="s">
        <v>76</v>
      </c>
      <c r="L8" s="26" t="s">
        <v>76</v>
      </c>
    </row>
    <row r="9" ht="43.8" customHeight="1" spans="1:12" x14ac:dyDescent="0.25">
      <c r="A9" s="28" t="s">
        <v>408</v>
      </c>
      <c r="B9" s="29" t="s">
        <v>403</v>
      </c>
      <c r="C9" s="29" t="s">
        <v>409</v>
      </c>
      <c r="D9" s="30" t="s">
        <v>97</v>
      </c>
      <c r="E9" s="29" t="s">
        <v>410</v>
      </c>
      <c r="F9" s="29" t="s">
        <v>411</v>
      </c>
      <c r="G9" s="29" t="s">
        <v>412</v>
      </c>
      <c r="H9" s="26" t="s">
        <v>76</v>
      </c>
      <c r="I9" s="30" t="s">
        <v>33</v>
      </c>
      <c r="J9" s="29" t="s">
        <v>76</v>
      </c>
      <c r="K9" s="31" t="s">
        <v>76</v>
      </c>
      <c r="L9" s="26" t="s">
        <v>76</v>
      </c>
    </row>
    <row r="10" ht="56.4" customHeight="1" spans="1:12" x14ac:dyDescent="0.25">
      <c r="A10" s="23" t="s">
        <v>413</v>
      </c>
      <c r="B10" s="24" t="s">
        <v>403</v>
      </c>
      <c r="C10" s="24" t="s">
        <v>414</v>
      </c>
      <c r="D10" s="25" t="s">
        <v>103</v>
      </c>
      <c r="E10" s="24" t="s">
        <v>415</v>
      </c>
      <c r="F10" s="24" t="s">
        <v>416</v>
      </c>
      <c r="G10" s="24" t="s">
        <v>417</v>
      </c>
      <c r="H10" s="26" t="s">
        <v>76</v>
      </c>
      <c r="I10" s="25" t="s">
        <v>33</v>
      </c>
      <c r="J10" s="24" t="s">
        <v>76</v>
      </c>
      <c r="K10" s="27" t="s">
        <v>76</v>
      </c>
      <c r="L10" s="26" t="s">
        <v>76</v>
      </c>
    </row>
    <row r="11" ht="43.8" customHeight="1" spans="1:12" x14ac:dyDescent="0.25">
      <c r="A11" s="28" t="s">
        <v>418</v>
      </c>
      <c r="B11" s="29" t="s">
        <v>403</v>
      </c>
      <c r="C11" s="29" t="s">
        <v>419</v>
      </c>
      <c r="D11" s="30" t="s">
        <v>103</v>
      </c>
      <c r="E11" s="29" t="s">
        <v>420</v>
      </c>
      <c r="F11" s="29" t="s">
        <v>421</v>
      </c>
      <c r="G11" s="29" t="s">
        <v>422</v>
      </c>
      <c r="H11" s="26" t="s">
        <v>76</v>
      </c>
      <c r="I11" s="30" t="s">
        <v>33</v>
      </c>
      <c r="J11" s="29" t="s">
        <v>76</v>
      </c>
      <c r="K11" s="31" t="s">
        <v>76</v>
      </c>
      <c r="L11" s="26" t="s">
        <v>76</v>
      </c>
    </row>
    <row r="12" ht="56.4" customHeight="1" spans="1:12" x14ac:dyDescent="0.25">
      <c r="A12" s="23" t="s">
        <v>423</v>
      </c>
      <c r="B12" s="24" t="s">
        <v>424</v>
      </c>
      <c r="C12" s="24" t="s">
        <v>425</v>
      </c>
      <c r="D12" s="25" t="s">
        <v>97</v>
      </c>
      <c r="E12" s="24" t="s">
        <v>426</v>
      </c>
      <c r="F12" s="24" t="s">
        <v>427</v>
      </c>
      <c r="G12" s="24" t="s">
        <v>428</v>
      </c>
      <c r="H12" s="26" t="s">
        <v>76</v>
      </c>
      <c r="I12" s="25" t="s">
        <v>33</v>
      </c>
      <c r="J12" s="24" t="s">
        <v>76</v>
      </c>
      <c r="K12" s="27" t="s">
        <v>76</v>
      </c>
      <c r="L12" s="26" t="s">
        <v>76</v>
      </c>
    </row>
    <row r="13" ht="56.4" customHeight="1" spans="1:12" x14ac:dyDescent="0.25">
      <c r="A13" s="28" t="s">
        <v>429</v>
      </c>
      <c r="B13" s="29" t="s">
        <v>424</v>
      </c>
      <c r="C13" s="29" t="s">
        <v>430</v>
      </c>
      <c r="D13" s="30" t="s">
        <v>103</v>
      </c>
      <c r="E13" s="29" t="s">
        <v>431</v>
      </c>
      <c r="F13" s="29" t="s">
        <v>432</v>
      </c>
      <c r="G13" s="29" t="s">
        <v>433</v>
      </c>
      <c r="H13" s="26" t="s">
        <v>76</v>
      </c>
      <c r="I13" s="30" t="s">
        <v>33</v>
      </c>
      <c r="J13" s="29" t="s">
        <v>76</v>
      </c>
      <c r="K13" s="31" t="s">
        <v>76</v>
      </c>
      <c r="L13" s="26" t="s">
        <v>76</v>
      </c>
    </row>
  </sheetData>
  <autoFilter ref="A3:L13"/>
  <mergeCells count="2">
    <mergeCell ref="A1:L1"/>
    <mergeCell ref="A2:L2"/>
  </mergeCells>
  <conditionalFormatting sqref="I4:I13">
    <cfRule type="cellIs" dxfId="14" priority="1" operator="equal">
      <formula>"Pass"</formula>
    </cfRule>
    <cfRule type="cellIs" dxfId="15" priority="2" operator="equal">
      <formula>"Fail"</formula>
    </cfRule>
    <cfRule type="cellIs" dxfId="16" priority="3" operator="equal">
      <formula>"Blocked"</formula>
    </cfRule>
    <cfRule type="cellIs" dxfId="17" priority="4" operator="equal">
      <formula>"N/A"</formula>
    </cfRule>
    <cfRule type="cellIs" dxfId="18" priority="5" operator="equal">
      <formula>"Not run"</formula>
    </cfRule>
  </conditionalFormatting>
  <conditionalFormatting sqref="D4:D13">
    <cfRule type="cellIs" dxfId="19" priority="6" operator="equal">
      <formula>"High"</formula>
    </cfRule>
  </conditionalFormatting>
  <dataValidations count="2">
    <dataValidation type="list" allowBlank="1" sqref="D4:D13">
      <formula1>"High,Medium,Low"</formula1>
    </dataValidation>
    <dataValidation type="list" showErrorMessage="1" errorTitle="Pick a status" error="Use Not run, Pass, Fail, Blocked or N/A." sqref="I4:I13">
      <formula1>"Not run,Pass,Fail,Blocked,N/A"</formula1>
    </dataValidation>
  </dataValidations>
  <pageMargins left="0.3" right="0.3" top="0.4" bottom="0.4" header="0.2" footer="0.2"/>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434</v>
      </c>
      <c r="B1" s="1"/>
      <c r="C1" s="1"/>
      <c r="D1" s="1"/>
      <c r="E1" s="1"/>
      <c r="F1" s="1"/>
      <c r="G1" s="1"/>
      <c r="H1" s="1"/>
      <c r="I1" s="1"/>
      <c r="J1" s="1"/>
      <c r="K1" s="1"/>
      <c r="L1" s="1"/>
    </row>
    <row r="2" ht="18" customHeight="1" spans="1:12" x14ac:dyDescent="0.25">
      <c r="A2" s="2" t="s">
        <v>435</v>
      </c>
      <c r="B2" s="2"/>
      <c r="C2" s="2"/>
      <c r="D2" s="2"/>
      <c r="E2" s="2"/>
      <c r="F2" s="2"/>
      <c r="G2" s="2"/>
      <c r="H2" s="2"/>
      <c r="I2" s="2"/>
      <c r="J2" s="2"/>
      <c r="K2" s="2"/>
      <c r="L2" s="2"/>
    </row>
    <row r="3" ht="24" customHeight="1" spans="1:12" x14ac:dyDescent="0.25">
      <c r="A3" s="8" t="s">
        <v>85</v>
      </c>
      <c r="B3" s="8" t="s">
        <v>86</v>
      </c>
      <c r="C3" s="8" t="s">
        <v>87</v>
      </c>
      <c r="D3" s="8" t="s">
        <v>43</v>
      </c>
      <c r="E3" s="8" t="s">
        <v>88</v>
      </c>
      <c r="F3" s="8" t="s">
        <v>89</v>
      </c>
      <c r="G3" s="8" t="s">
        <v>90</v>
      </c>
      <c r="H3" s="8" t="s">
        <v>91</v>
      </c>
      <c r="I3" s="8" t="s">
        <v>92</v>
      </c>
      <c r="J3" s="8" t="s">
        <v>16</v>
      </c>
      <c r="K3" s="8" t="s">
        <v>77</v>
      </c>
      <c r="L3" s="8" t="s">
        <v>93</v>
      </c>
    </row>
    <row r="4" ht="69" customHeight="1" spans="1:12" x14ac:dyDescent="0.25">
      <c r="A4" s="23" t="s">
        <v>436</v>
      </c>
      <c r="B4" s="24" t="s">
        <v>437</v>
      </c>
      <c r="C4" s="24" t="s">
        <v>438</v>
      </c>
      <c r="D4" s="25" t="s">
        <v>97</v>
      </c>
      <c r="E4" s="24" t="s">
        <v>439</v>
      </c>
      <c r="F4" s="24" t="s">
        <v>440</v>
      </c>
      <c r="G4" s="24" t="s">
        <v>441</v>
      </c>
      <c r="H4" s="26" t="s">
        <v>76</v>
      </c>
      <c r="I4" s="25" t="s">
        <v>33</v>
      </c>
      <c r="J4" s="24" t="s">
        <v>76</v>
      </c>
      <c r="K4" s="27" t="s">
        <v>76</v>
      </c>
      <c r="L4" s="26" t="s">
        <v>76</v>
      </c>
    </row>
    <row r="5" ht="43.8" customHeight="1" spans="1:12" x14ac:dyDescent="0.25">
      <c r="A5" s="28" t="s">
        <v>442</v>
      </c>
      <c r="B5" s="29" t="s">
        <v>437</v>
      </c>
      <c r="C5" s="29" t="s">
        <v>443</v>
      </c>
      <c r="D5" s="30" t="s">
        <v>97</v>
      </c>
      <c r="E5" s="29" t="s">
        <v>444</v>
      </c>
      <c r="F5" s="29" t="s">
        <v>445</v>
      </c>
      <c r="G5" s="29" t="s">
        <v>446</v>
      </c>
      <c r="H5" s="26" t="s">
        <v>76</v>
      </c>
      <c r="I5" s="30" t="s">
        <v>33</v>
      </c>
      <c r="J5" s="29" t="s">
        <v>76</v>
      </c>
      <c r="K5" s="31" t="s">
        <v>76</v>
      </c>
      <c r="L5" s="26" t="s">
        <v>76</v>
      </c>
    </row>
    <row r="6" ht="81.6" customHeight="1" spans="1:12" x14ac:dyDescent="0.25">
      <c r="A6" s="23" t="s">
        <v>447</v>
      </c>
      <c r="B6" s="24" t="s">
        <v>448</v>
      </c>
      <c r="C6" s="24" t="s">
        <v>449</v>
      </c>
      <c r="D6" s="25" t="s">
        <v>97</v>
      </c>
      <c r="E6" s="24" t="s">
        <v>450</v>
      </c>
      <c r="F6" s="24" t="s">
        <v>451</v>
      </c>
      <c r="G6" s="24" t="s">
        <v>452</v>
      </c>
      <c r="H6" s="26" t="s">
        <v>76</v>
      </c>
      <c r="I6" s="25" t="s">
        <v>33</v>
      </c>
      <c r="J6" s="24" t="s">
        <v>76</v>
      </c>
      <c r="K6" s="27" t="s">
        <v>76</v>
      </c>
      <c r="L6" s="26" t="s">
        <v>76</v>
      </c>
    </row>
    <row r="7" ht="43.8" customHeight="1" spans="1:12" x14ac:dyDescent="0.25">
      <c r="A7" s="28" t="s">
        <v>453</v>
      </c>
      <c r="B7" s="29" t="s">
        <v>448</v>
      </c>
      <c r="C7" s="29" t="s">
        <v>454</v>
      </c>
      <c r="D7" s="30" t="s">
        <v>103</v>
      </c>
      <c r="E7" s="29" t="s">
        <v>455</v>
      </c>
      <c r="F7" s="29" t="s">
        <v>456</v>
      </c>
      <c r="G7" s="29" t="s">
        <v>457</v>
      </c>
      <c r="H7" s="26" t="s">
        <v>76</v>
      </c>
      <c r="I7" s="30" t="s">
        <v>33</v>
      </c>
      <c r="J7" s="29" t="s">
        <v>76</v>
      </c>
      <c r="K7" s="31" t="s">
        <v>76</v>
      </c>
      <c r="L7" s="26" t="s">
        <v>76</v>
      </c>
    </row>
    <row r="8" ht="69" customHeight="1" spans="1:12" x14ac:dyDescent="0.25">
      <c r="A8" s="23" t="s">
        <v>458</v>
      </c>
      <c r="B8" s="24" t="s">
        <v>459</v>
      </c>
      <c r="C8" s="24" t="s">
        <v>460</v>
      </c>
      <c r="D8" s="25" t="s">
        <v>97</v>
      </c>
      <c r="E8" s="24" t="s">
        <v>461</v>
      </c>
      <c r="F8" s="24" t="s">
        <v>462</v>
      </c>
      <c r="G8" s="24" t="s">
        <v>463</v>
      </c>
      <c r="H8" s="26" t="s">
        <v>76</v>
      </c>
      <c r="I8" s="25" t="s">
        <v>33</v>
      </c>
      <c r="J8" s="24" t="s">
        <v>76</v>
      </c>
      <c r="K8" s="27" t="s">
        <v>76</v>
      </c>
      <c r="L8" s="26" t="s">
        <v>76</v>
      </c>
    </row>
    <row r="9" ht="56.4" customHeight="1" spans="1:12" x14ac:dyDescent="0.25">
      <c r="A9" s="28" t="s">
        <v>464</v>
      </c>
      <c r="B9" s="29" t="s">
        <v>459</v>
      </c>
      <c r="C9" s="29" t="s">
        <v>465</v>
      </c>
      <c r="D9" s="30" t="s">
        <v>97</v>
      </c>
      <c r="E9" s="29" t="s">
        <v>466</v>
      </c>
      <c r="F9" s="29" t="s">
        <v>467</v>
      </c>
      <c r="G9" s="29" t="s">
        <v>468</v>
      </c>
      <c r="H9" s="26" t="s">
        <v>76</v>
      </c>
      <c r="I9" s="30" t="s">
        <v>33</v>
      </c>
      <c r="J9" s="29" t="s">
        <v>76</v>
      </c>
      <c r="K9" s="31" t="s">
        <v>76</v>
      </c>
      <c r="L9" s="26" t="s">
        <v>76</v>
      </c>
    </row>
    <row r="10" ht="31.2" customHeight="1" spans="1:12" x14ac:dyDescent="0.25">
      <c r="A10" s="23" t="s">
        <v>469</v>
      </c>
      <c r="B10" s="24" t="s">
        <v>470</v>
      </c>
      <c r="C10" s="24" t="s">
        <v>471</v>
      </c>
      <c r="D10" s="25" t="s">
        <v>97</v>
      </c>
      <c r="E10" s="24" t="s">
        <v>472</v>
      </c>
      <c r="F10" s="24" t="s">
        <v>473</v>
      </c>
      <c r="G10" s="24" t="s">
        <v>474</v>
      </c>
      <c r="H10" s="26" t="s">
        <v>76</v>
      </c>
      <c r="I10" s="25" t="s">
        <v>33</v>
      </c>
      <c r="J10" s="24" t="s">
        <v>76</v>
      </c>
      <c r="K10" s="27" t="s">
        <v>76</v>
      </c>
      <c r="L10" s="26" t="s">
        <v>76</v>
      </c>
    </row>
    <row r="11" ht="81.6" customHeight="1" spans="1:12" x14ac:dyDescent="0.25">
      <c r="A11" s="28" t="s">
        <v>475</v>
      </c>
      <c r="B11" s="29" t="s">
        <v>476</v>
      </c>
      <c r="C11" s="29" t="s">
        <v>477</v>
      </c>
      <c r="D11" s="30" t="s">
        <v>97</v>
      </c>
      <c r="E11" s="29" t="s">
        <v>478</v>
      </c>
      <c r="F11" s="29" t="s">
        <v>479</v>
      </c>
      <c r="G11" s="29" t="s">
        <v>480</v>
      </c>
      <c r="H11" s="26" t="s">
        <v>76</v>
      </c>
      <c r="I11" s="30" t="s">
        <v>33</v>
      </c>
      <c r="J11" s="29" t="s">
        <v>76</v>
      </c>
      <c r="K11" s="31" t="s">
        <v>76</v>
      </c>
      <c r="L11" s="26" t="s">
        <v>76</v>
      </c>
    </row>
    <row r="12" ht="69" customHeight="1" spans="1:12" x14ac:dyDescent="0.25">
      <c r="A12" s="23" t="s">
        <v>481</v>
      </c>
      <c r="B12" s="24" t="s">
        <v>482</v>
      </c>
      <c r="C12" s="24" t="s">
        <v>483</v>
      </c>
      <c r="D12" s="25" t="s">
        <v>97</v>
      </c>
      <c r="E12" s="24" t="s">
        <v>484</v>
      </c>
      <c r="F12" s="24" t="s">
        <v>485</v>
      </c>
      <c r="G12" s="24" t="s">
        <v>486</v>
      </c>
      <c r="H12" s="26" t="s">
        <v>76</v>
      </c>
      <c r="I12" s="25" t="s">
        <v>33</v>
      </c>
      <c r="J12" s="24" t="s">
        <v>76</v>
      </c>
      <c r="K12" s="27" t="s">
        <v>76</v>
      </c>
      <c r="L12" s="26" t="s">
        <v>76</v>
      </c>
    </row>
    <row r="13" ht="56.4" customHeight="1" spans="1:12" x14ac:dyDescent="0.25">
      <c r="A13" s="28" t="s">
        <v>487</v>
      </c>
      <c r="B13" s="29" t="s">
        <v>488</v>
      </c>
      <c r="C13" s="29" t="s">
        <v>489</v>
      </c>
      <c r="D13" s="30" t="s">
        <v>97</v>
      </c>
      <c r="E13" s="29" t="s">
        <v>490</v>
      </c>
      <c r="F13" s="29" t="s">
        <v>491</v>
      </c>
      <c r="G13" s="29" t="s">
        <v>492</v>
      </c>
      <c r="H13" s="26" t="s">
        <v>76</v>
      </c>
      <c r="I13" s="30" t="s">
        <v>33</v>
      </c>
      <c r="J13" s="29" t="s">
        <v>76</v>
      </c>
      <c r="K13" s="31" t="s">
        <v>76</v>
      </c>
      <c r="L13" s="26" t="s">
        <v>76</v>
      </c>
    </row>
    <row r="14" ht="56.4" customHeight="1" spans="1:12" x14ac:dyDescent="0.25">
      <c r="A14" s="23" t="s">
        <v>493</v>
      </c>
      <c r="B14" s="24" t="s">
        <v>494</v>
      </c>
      <c r="C14" s="24" t="s">
        <v>495</v>
      </c>
      <c r="D14" s="25" t="s">
        <v>103</v>
      </c>
      <c r="E14" s="24" t="s">
        <v>496</v>
      </c>
      <c r="F14" s="24" t="s">
        <v>497</v>
      </c>
      <c r="G14" s="24" t="s">
        <v>498</v>
      </c>
      <c r="H14" s="26" t="s">
        <v>76</v>
      </c>
      <c r="I14" s="25" t="s">
        <v>33</v>
      </c>
      <c r="J14" s="24" t="s">
        <v>76</v>
      </c>
      <c r="K14" s="27" t="s">
        <v>76</v>
      </c>
      <c r="L14" s="26" t="s">
        <v>76</v>
      </c>
    </row>
    <row r="15" ht="69" customHeight="1" spans="1:12" x14ac:dyDescent="0.25">
      <c r="A15" s="28" t="s">
        <v>499</v>
      </c>
      <c r="B15" s="29" t="s">
        <v>500</v>
      </c>
      <c r="C15" s="29" t="s">
        <v>501</v>
      </c>
      <c r="D15" s="30" t="s">
        <v>97</v>
      </c>
      <c r="E15" s="29" t="s">
        <v>502</v>
      </c>
      <c r="F15" s="29" t="s">
        <v>503</v>
      </c>
      <c r="G15" s="29" t="s">
        <v>504</v>
      </c>
      <c r="H15" s="26" t="s">
        <v>76</v>
      </c>
      <c r="I15" s="30" t="s">
        <v>33</v>
      </c>
      <c r="J15" s="29" t="s">
        <v>76</v>
      </c>
      <c r="K15" s="31" t="s">
        <v>76</v>
      </c>
      <c r="L15" s="26" t="s">
        <v>76</v>
      </c>
    </row>
    <row r="16" ht="69" customHeight="1" spans="1:12" x14ac:dyDescent="0.25">
      <c r="A16" s="23" t="s">
        <v>505</v>
      </c>
      <c r="B16" s="24" t="s">
        <v>506</v>
      </c>
      <c r="C16" s="24" t="s">
        <v>507</v>
      </c>
      <c r="D16" s="25" t="s">
        <v>103</v>
      </c>
      <c r="E16" s="24" t="s">
        <v>508</v>
      </c>
      <c r="F16" s="24" t="s">
        <v>509</v>
      </c>
      <c r="G16" s="24" t="s">
        <v>510</v>
      </c>
      <c r="H16" s="26" t="s">
        <v>76</v>
      </c>
      <c r="I16" s="25" t="s">
        <v>33</v>
      </c>
      <c r="J16" s="24" t="s">
        <v>76</v>
      </c>
      <c r="K16" s="27" t="s">
        <v>76</v>
      </c>
      <c r="L16" s="26" t="s">
        <v>76</v>
      </c>
    </row>
    <row r="17" ht="69" customHeight="1" spans="1:12" x14ac:dyDescent="0.25">
      <c r="A17" s="28" t="s">
        <v>511</v>
      </c>
      <c r="B17" s="29" t="s">
        <v>512</v>
      </c>
      <c r="C17" s="29" t="s">
        <v>513</v>
      </c>
      <c r="D17" s="30" t="s">
        <v>103</v>
      </c>
      <c r="E17" s="29" t="s">
        <v>472</v>
      </c>
      <c r="F17" s="29" t="s">
        <v>514</v>
      </c>
      <c r="G17" s="29" t="s">
        <v>515</v>
      </c>
      <c r="H17" s="26" t="s">
        <v>76</v>
      </c>
      <c r="I17" s="30" t="s">
        <v>33</v>
      </c>
      <c r="J17" s="29" t="s">
        <v>76</v>
      </c>
      <c r="K17" s="31" t="s">
        <v>76</v>
      </c>
      <c r="L17" s="26" t="s">
        <v>76</v>
      </c>
    </row>
    <row r="18" ht="56.4" customHeight="1" spans="1:12" x14ac:dyDescent="0.25">
      <c r="A18" s="23" t="s">
        <v>516</v>
      </c>
      <c r="B18" s="24" t="s">
        <v>517</v>
      </c>
      <c r="C18" s="24" t="s">
        <v>518</v>
      </c>
      <c r="D18" s="25" t="s">
        <v>103</v>
      </c>
      <c r="E18" s="24" t="s">
        <v>472</v>
      </c>
      <c r="F18" s="24" t="s">
        <v>519</v>
      </c>
      <c r="G18" s="24" t="s">
        <v>520</v>
      </c>
      <c r="H18" s="26" t="s">
        <v>76</v>
      </c>
      <c r="I18" s="25" t="s">
        <v>33</v>
      </c>
      <c r="J18" s="24" t="s">
        <v>76</v>
      </c>
      <c r="K18" s="27" t="s">
        <v>76</v>
      </c>
      <c r="L18" s="26" t="s">
        <v>76</v>
      </c>
    </row>
    <row r="19" ht="31.2" customHeight="1" spans="1:12" x14ac:dyDescent="0.25">
      <c r="A19" s="28" t="s">
        <v>521</v>
      </c>
      <c r="B19" s="29" t="s">
        <v>522</v>
      </c>
      <c r="C19" s="29" t="s">
        <v>523</v>
      </c>
      <c r="D19" s="30" t="s">
        <v>150</v>
      </c>
      <c r="E19" s="29" t="s">
        <v>508</v>
      </c>
      <c r="F19" s="29" t="s">
        <v>524</v>
      </c>
      <c r="G19" s="29" t="s">
        <v>525</v>
      </c>
      <c r="H19" s="26" t="s">
        <v>76</v>
      </c>
      <c r="I19" s="30" t="s">
        <v>33</v>
      </c>
      <c r="J19" s="29" t="s">
        <v>76</v>
      </c>
      <c r="K19" s="31" t="s">
        <v>76</v>
      </c>
      <c r="L19" s="26" t="s">
        <v>76</v>
      </c>
    </row>
    <row r="20" ht="56.4" customHeight="1" spans="1:12" x14ac:dyDescent="0.25">
      <c r="A20" s="23" t="s">
        <v>526</v>
      </c>
      <c r="B20" s="24" t="s">
        <v>527</v>
      </c>
      <c r="C20" s="24" t="s">
        <v>528</v>
      </c>
      <c r="D20" s="25" t="s">
        <v>103</v>
      </c>
      <c r="E20" s="24" t="s">
        <v>472</v>
      </c>
      <c r="F20" s="24" t="s">
        <v>529</v>
      </c>
      <c r="G20" s="24" t="s">
        <v>530</v>
      </c>
      <c r="H20" s="26" t="s">
        <v>76</v>
      </c>
      <c r="I20" s="25" t="s">
        <v>33</v>
      </c>
      <c r="J20" s="24" t="s">
        <v>76</v>
      </c>
      <c r="K20" s="27" t="s">
        <v>76</v>
      </c>
      <c r="L20" s="26" t="s">
        <v>76</v>
      </c>
    </row>
    <row r="21" ht="56.4" customHeight="1" spans="1:12" x14ac:dyDescent="0.25">
      <c r="A21" s="28" t="s">
        <v>531</v>
      </c>
      <c r="B21" s="29" t="s">
        <v>470</v>
      </c>
      <c r="C21" s="29" t="s">
        <v>532</v>
      </c>
      <c r="D21" s="30" t="s">
        <v>97</v>
      </c>
      <c r="E21" s="29" t="s">
        <v>533</v>
      </c>
      <c r="F21" s="29" t="s">
        <v>534</v>
      </c>
      <c r="G21" s="29" t="s">
        <v>535</v>
      </c>
      <c r="H21" s="26" t="s">
        <v>76</v>
      </c>
      <c r="I21" s="30" t="s">
        <v>33</v>
      </c>
      <c r="J21" s="29" t="s">
        <v>76</v>
      </c>
      <c r="K21" s="31" t="s">
        <v>76</v>
      </c>
      <c r="L21" s="26" t="s">
        <v>76</v>
      </c>
    </row>
    <row r="22" ht="56.4" customHeight="1" spans="1:12" x14ac:dyDescent="0.25">
      <c r="A22" s="23" t="s">
        <v>536</v>
      </c>
      <c r="B22" s="24" t="s">
        <v>470</v>
      </c>
      <c r="C22" s="24" t="s">
        <v>537</v>
      </c>
      <c r="D22" s="25" t="s">
        <v>103</v>
      </c>
      <c r="E22" s="24" t="s">
        <v>538</v>
      </c>
      <c r="F22" s="24" t="s">
        <v>539</v>
      </c>
      <c r="G22" s="24" t="s">
        <v>540</v>
      </c>
      <c r="H22" s="26" t="s">
        <v>76</v>
      </c>
      <c r="I22" s="25" t="s">
        <v>33</v>
      </c>
      <c r="J22" s="24" t="s">
        <v>76</v>
      </c>
      <c r="K22" s="27" t="s">
        <v>76</v>
      </c>
      <c r="L22" s="26" t="s">
        <v>76</v>
      </c>
    </row>
    <row r="23" ht="56.4" customHeight="1" spans="1:12" x14ac:dyDescent="0.25">
      <c r="A23" s="28" t="s">
        <v>541</v>
      </c>
      <c r="B23" s="29" t="s">
        <v>542</v>
      </c>
      <c r="C23" s="29" t="s">
        <v>543</v>
      </c>
      <c r="D23" s="30" t="s">
        <v>97</v>
      </c>
      <c r="E23" s="29" t="s">
        <v>544</v>
      </c>
      <c r="F23" s="29" t="s">
        <v>545</v>
      </c>
      <c r="G23" s="29" t="s">
        <v>546</v>
      </c>
      <c r="H23" s="26" t="s">
        <v>76</v>
      </c>
      <c r="I23" s="30" t="s">
        <v>33</v>
      </c>
      <c r="J23" s="29" t="s">
        <v>76</v>
      </c>
      <c r="K23" s="31" t="s">
        <v>76</v>
      </c>
      <c r="L23" s="26" t="s">
        <v>76</v>
      </c>
    </row>
    <row r="24" ht="69" customHeight="1" spans="1:12" x14ac:dyDescent="0.25">
      <c r="A24" s="23" t="s">
        <v>547</v>
      </c>
      <c r="B24" s="24" t="s">
        <v>542</v>
      </c>
      <c r="C24" s="24" t="s">
        <v>548</v>
      </c>
      <c r="D24" s="25" t="s">
        <v>97</v>
      </c>
      <c r="E24" s="24" t="s">
        <v>549</v>
      </c>
      <c r="F24" s="24" t="s">
        <v>550</v>
      </c>
      <c r="G24" s="24" t="s">
        <v>551</v>
      </c>
      <c r="H24" s="26" t="s">
        <v>76</v>
      </c>
      <c r="I24" s="25" t="s">
        <v>33</v>
      </c>
      <c r="J24" s="24" t="s">
        <v>76</v>
      </c>
      <c r="K24" s="27" t="s">
        <v>76</v>
      </c>
      <c r="L24" s="26" t="s">
        <v>76</v>
      </c>
    </row>
    <row r="25" ht="69" customHeight="1" spans="1:12" x14ac:dyDescent="0.25">
      <c r="A25" s="28" t="s">
        <v>552</v>
      </c>
      <c r="B25" s="29" t="s">
        <v>542</v>
      </c>
      <c r="C25" s="29" t="s">
        <v>553</v>
      </c>
      <c r="D25" s="30" t="s">
        <v>97</v>
      </c>
      <c r="E25" s="29" t="s">
        <v>554</v>
      </c>
      <c r="F25" s="29" t="s">
        <v>555</v>
      </c>
      <c r="G25" s="29" t="s">
        <v>556</v>
      </c>
      <c r="H25" s="26" t="s">
        <v>76</v>
      </c>
      <c r="I25" s="30" t="s">
        <v>33</v>
      </c>
      <c r="J25" s="29" t="s">
        <v>76</v>
      </c>
      <c r="K25" s="31" t="s">
        <v>76</v>
      </c>
      <c r="L25" s="26" t="s">
        <v>76</v>
      </c>
    </row>
    <row r="26" ht="43.8" customHeight="1" spans="1:12" x14ac:dyDescent="0.25">
      <c r="A26" s="23" t="s">
        <v>557</v>
      </c>
      <c r="B26" s="24" t="s">
        <v>542</v>
      </c>
      <c r="C26" s="24" t="s">
        <v>558</v>
      </c>
      <c r="D26" s="25" t="s">
        <v>97</v>
      </c>
      <c r="E26" s="24" t="s">
        <v>559</v>
      </c>
      <c r="F26" s="24" t="s">
        <v>560</v>
      </c>
      <c r="G26" s="24" t="s">
        <v>561</v>
      </c>
      <c r="H26" s="26" t="s">
        <v>76</v>
      </c>
      <c r="I26" s="25" t="s">
        <v>33</v>
      </c>
      <c r="J26" s="24" t="s">
        <v>76</v>
      </c>
      <c r="K26" s="27" t="s">
        <v>76</v>
      </c>
      <c r="L26" s="26" t="s">
        <v>76</v>
      </c>
    </row>
  </sheetData>
  <autoFilter ref="A3:L26"/>
  <mergeCells count="2">
    <mergeCell ref="A1:L1"/>
    <mergeCell ref="A2:L2"/>
  </mergeCells>
  <conditionalFormatting sqref="I4:I26">
    <cfRule type="cellIs" dxfId="20" priority="1" operator="equal">
      <formula>"Pass"</formula>
    </cfRule>
    <cfRule type="cellIs" dxfId="21" priority="2" operator="equal">
      <formula>"Fail"</formula>
    </cfRule>
    <cfRule type="cellIs" dxfId="22" priority="3" operator="equal">
      <formula>"Blocked"</formula>
    </cfRule>
    <cfRule type="cellIs" dxfId="23" priority="4" operator="equal">
      <formula>"N/A"</formula>
    </cfRule>
    <cfRule type="cellIs" dxfId="24" priority="5" operator="equal">
      <formula>"Not run"</formula>
    </cfRule>
  </conditionalFormatting>
  <conditionalFormatting sqref="D4:D26">
    <cfRule type="cellIs" dxfId="25" priority="6" operator="equal">
      <formula>"High"</formula>
    </cfRule>
  </conditionalFormatting>
  <dataValidations count="2">
    <dataValidation type="list" allowBlank="1" sqref="D4:D26">
      <formula1>"High,Medium,Low"</formula1>
    </dataValidation>
    <dataValidation type="list" showErrorMessage="1" errorTitle="Pick a status" error="Use Not run, Pass, Fail, Blocked or N/A." sqref="I4:I26">
      <formula1>"Not run,Pass,Fail,Blocked,N/A"</formula1>
    </dataValidation>
  </dataValidations>
  <pageMargins left="0.3" right="0.3" top="0.4" bottom="0.4" header="0.2" footer="0.2"/>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5"/>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562</v>
      </c>
      <c r="B1" s="1"/>
      <c r="C1" s="1"/>
      <c r="D1" s="1"/>
      <c r="E1" s="1"/>
      <c r="F1" s="1"/>
      <c r="G1" s="1"/>
      <c r="H1" s="1"/>
      <c r="I1" s="1"/>
      <c r="J1" s="1"/>
      <c r="K1" s="1"/>
      <c r="L1" s="1"/>
    </row>
    <row r="2" ht="18" customHeight="1" spans="1:12" x14ac:dyDescent="0.25">
      <c r="A2" s="2" t="s">
        <v>563</v>
      </c>
      <c r="B2" s="2"/>
      <c r="C2" s="2"/>
      <c r="D2" s="2"/>
      <c r="E2" s="2"/>
      <c r="F2" s="2"/>
      <c r="G2" s="2"/>
      <c r="H2" s="2"/>
      <c r="I2" s="2"/>
      <c r="J2" s="2"/>
      <c r="K2" s="2"/>
      <c r="L2" s="2"/>
    </row>
    <row r="3" ht="24" customHeight="1" spans="1:12" x14ac:dyDescent="0.25">
      <c r="A3" s="8" t="s">
        <v>85</v>
      </c>
      <c r="B3" s="8" t="s">
        <v>86</v>
      </c>
      <c r="C3" s="8" t="s">
        <v>87</v>
      </c>
      <c r="D3" s="8" t="s">
        <v>43</v>
      </c>
      <c r="E3" s="8" t="s">
        <v>88</v>
      </c>
      <c r="F3" s="8" t="s">
        <v>89</v>
      </c>
      <c r="G3" s="8" t="s">
        <v>90</v>
      </c>
      <c r="H3" s="8" t="s">
        <v>91</v>
      </c>
      <c r="I3" s="8" t="s">
        <v>92</v>
      </c>
      <c r="J3" s="8" t="s">
        <v>16</v>
      </c>
      <c r="K3" s="8" t="s">
        <v>77</v>
      </c>
      <c r="L3" s="8" t="s">
        <v>93</v>
      </c>
    </row>
    <row r="4" ht="69" customHeight="1" spans="1:12" x14ac:dyDescent="0.25">
      <c r="A4" s="23" t="s">
        <v>564</v>
      </c>
      <c r="B4" s="24" t="s">
        <v>565</v>
      </c>
      <c r="C4" s="24" t="s">
        <v>566</v>
      </c>
      <c r="D4" s="25" t="s">
        <v>97</v>
      </c>
      <c r="E4" s="24" t="s">
        <v>567</v>
      </c>
      <c r="F4" s="24" t="s">
        <v>568</v>
      </c>
      <c r="G4" s="24" t="s">
        <v>569</v>
      </c>
      <c r="H4" s="26" t="s">
        <v>76</v>
      </c>
      <c r="I4" s="25" t="s">
        <v>33</v>
      </c>
      <c r="J4" s="24" t="s">
        <v>76</v>
      </c>
      <c r="K4" s="27" t="s">
        <v>76</v>
      </c>
      <c r="L4" s="26" t="s">
        <v>76</v>
      </c>
    </row>
    <row r="5" ht="43.8" customHeight="1" spans="1:12" x14ac:dyDescent="0.25">
      <c r="A5" s="28" t="s">
        <v>570</v>
      </c>
      <c r="B5" s="29" t="s">
        <v>565</v>
      </c>
      <c r="C5" s="29" t="s">
        <v>571</v>
      </c>
      <c r="D5" s="30" t="s">
        <v>97</v>
      </c>
      <c r="E5" s="29" t="s">
        <v>572</v>
      </c>
      <c r="F5" s="29" t="s">
        <v>573</v>
      </c>
      <c r="G5" s="29" t="s">
        <v>574</v>
      </c>
      <c r="H5" s="26" t="s">
        <v>76</v>
      </c>
      <c r="I5" s="30" t="s">
        <v>33</v>
      </c>
      <c r="J5" s="29" t="s">
        <v>76</v>
      </c>
      <c r="K5" s="31" t="s">
        <v>76</v>
      </c>
      <c r="L5" s="26" t="s">
        <v>76</v>
      </c>
    </row>
    <row r="6" ht="43.8" customHeight="1" spans="1:12" x14ac:dyDescent="0.25">
      <c r="A6" s="23" t="s">
        <v>575</v>
      </c>
      <c r="B6" s="24" t="s">
        <v>576</v>
      </c>
      <c r="C6" s="24" t="s">
        <v>577</v>
      </c>
      <c r="D6" s="25" t="s">
        <v>103</v>
      </c>
      <c r="E6" s="24" t="s">
        <v>220</v>
      </c>
      <c r="F6" s="24" t="s">
        <v>578</v>
      </c>
      <c r="G6" s="24" t="s">
        <v>579</v>
      </c>
      <c r="H6" s="26" t="s">
        <v>76</v>
      </c>
      <c r="I6" s="25" t="s">
        <v>33</v>
      </c>
      <c r="J6" s="24" t="s">
        <v>76</v>
      </c>
      <c r="K6" s="27" t="s">
        <v>76</v>
      </c>
      <c r="L6" s="26" t="s">
        <v>76</v>
      </c>
    </row>
    <row r="7" ht="56.4" customHeight="1" spans="1:12" x14ac:dyDescent="0.25">
      <c r="A7" s="28" t="s">
        <v>580</v>
      </c>
      <c r="B7" s="29" t="s">
        <v>565</v>
      </c>
      <c r="C7" s="29" t="s">
        <v>581</v>
      </c>
      <c r="D7" s="30" t="s">
        <v>103</v>
      </c>
      <c r="E7" s="29" t="s">
        <v>220</v>
      </c>
      <c r="F7" s="29" t="s">
        <v>582</v>
      </c>
      <c r="G7" s="29" t="s">
        <v>583</v>
      </c>
      <c r="H7" s="26" t="s">
        <v>76</v>
      </c>
      <c r="I7" s="30" t="s">
        <v>33</v>
      </c>
      <c r="J7" s="29" t="s">
        <v>76</v>
      </c>
      <c r="K7" s="31" t="s">
        <v>76</v>
      </c>
      <c r="L7" s="26" t="s">
        <v>76</v>
      </c>
    </row>
    <row r="8" ht="43.8" customHeight="1" spans="1:12" x14ac:dyDescent="0.25">
      <c r="A8" s="23" t="s">
        <v>584</v>
      </c>
      <c r="B8" s="24" t="s">
        <v>585</v>
      </c>
      <c r="C8" s="24" t="s">
        <v>586</v>
      </c>
      <c r="D8" s="25" t="s">
        <v>97</v>
      </c>
      <c r="E8" s="24" t="s">
        <v>587</v>
      </c>
      <c r="F8" s="24" t="s">
        <v>588</v>
      </c>
      <c r="G8" s="24" t="s">
        <v>589</v>
      </c>
      <c r="H8" s="26" t="s">
        <v>76</v>
      </c>
      <c r="I8" s="25" t="s">
        <v>33</v>
      </c>
      <c r="J8" s="24" t="s">
        <v>76</v>
      </c>
      <c r="K8" s="27" t="s">
        <v>76</v>
      </c>
      <c r="L8" s="26" t="s">
        <v>76</v>
      </c>
    </row>
    <row r="9" ht="56.4" customHeight="1" spans="1:12" x14ac:dyDescent="0.25">
      <c r="A9" s="28" t="s">
        <v>590</v>
      </c>
      <c r="B9" s="29" t="s">
        <v>585</v>
      </c>
      <c r="C9" s="29" t="s">
        <v>591</v>
      </c>
      <c r="D9" s="30" t="s">
        <v>97</v>
      </c>
      <c r="E9" s="29" t="s">
        <v>592</v>
      </c>
      <c r="F9" s="29" t="s">
        <v>593</v>
      </c>
      <c r="G9" s="29" t="s">
        <v>594</v>
      </c>
      <c r="H9" s="26" t="s">
        <v>76</v>
      </c>
      <c r="I9" s="30" t="s">
        <v>33</v>
      </c>
      <c r="J9" s="29" t="s">
        <v>76</v>
      </c>
      <c r="K9" s="31" t="s">
        <v>76</v>
      </c>
      <c r="L9" s="26" t="s">
        <v>76</v>
      </c>
    </row>
    <row r="10" ht="56.4" customHeight="1" spans="1:12" x14ac:dyDescent="0.25">
      <c r="A10" s="23" t="s">
        <v>595</v>
      </c>
      <c r="B10" s="24" t="s">
        <v>585</v>
      </c>
      <c r="C10" s="24" t="s">
        <v>596</v>
      </c>
      <c r="D10" s="25" t="s">
        <v>97</v>
      </c>
      <c r="E10" s="24" t="s">
        <v>597</v>
      </c>
      <c r="F10" s="24" t="s">
        <v>598</v>
      </c>
      <c r="G10" s="24" t="s">
        <v>599</v>
      </c>
      <c r="H10" s="26" t="s">
        <v>76</v>
      </c>
      <c r="I10" s="25" t="s">
        <v>33</v>
      </c>
      <c r="J10" s="24" t="s">
        <v>76</v>
      </c>
      <c r="K10" s="27" t="s">
        <v>76</v>
      </c>
      <c r="L10" s="26" t="s">
        <v>76</v>
      </c>
    </row>
    <row r="11" ht="69" customHeight="1" spans="1:12" x14ac:dyDescent="0.25">
      <c r="A11" s="28" t="s">
        <v>600</v>
      </c>
      <c r="B11" s="29" t="s">
        <v>585</v>
      </c>
      <c r="C11" s="29" t="s">
        <v>601</v>
      </c>
      <c r="D11" s="30" t="s">
        <v>103</v>
      </c>
      <c r="E11" s="29" t="s">
        <v>602</v>
      </c>
      <c r="F11" s="29" t="s">
        <v>603</v>
      </c>
      <c r="G11" s="29" t="s">
        <v>604</v>
      </c>
      <c r="H11" s="26" t="s">
        <v>76</v>
      </c>
      <c r="I11" s="30" t="s">
        <v>33</v>
      </c>
      <c r="J11" s="29" t="s">
        <v>76</v>
      </c>
      <c r="K11" s="31" t="s">
        <v>76</v>
      </c>
      <c r="L11" s="26" t="s">
        <v>76</v>
      </c>
    </row>
    <row r="12" ht="56.4" customHeight="1" spans="1:12" x14ac:dyDescent="0.25">
      <c r="A12" s="23" t="s">
        <v>605</v>
      </c>
      <c r="B12" s="24" t="s">
        <v>606</v>
      </c>
      <c r="C12" s="24" t="s">
        <v>607</v>
      </c>
      <c r="D12" s="25" t="s">
        <v>97</v>
      </c>
      <c r="E12" s="24" t="s">
        <v>608</v>
      </c>
      <c r="F12" s="24" t="s">
        <v>609</v>
      </c>
      <c r="G12" s="24" t="s">
        <v>610</v>
      </c>
      <c r="H12" s="26" t="s">
        <v>76</v>
      </c>
      <c r="I12" s="25" t="s">
        <v>33</v>
      </c>
      <c r="J12" s="24" t="s">
        <v>76</v>
      </c>
      <c r="K12" s="27" t="s">
        <v>76</v>
      </c>
      <c r="L12" s="26" t="s">
        <v>76</v>
      </c>
    </row>
    <row r="13" ht="69" customHeight="1" spans="1:12" x14ac:dyDescent="0.25">
      <c r="A13" s="28" t="s">
        <v>611</v>
      </c>
      <c r="B13" s="29" t="s">
        <v>606</v>
      </c>
      <c r="C13" s="29" t="s">
        <v>612</v>
      </c>
      <c r="D13" s="30" t="s">
        <v>97</v>
      </c>
      <c r="E13" s="29" t="s">
        <v>613</v>
      </c>
      <c r="F13" s="29" t="s">
        <v>614</v>
      </c>
      <c r="G13" s="29" t="s">
        <v>615</v>
      </c>
      <c r="H13" s="26" t="s">
        <v>76</v>
      </c>
      <c r="I13" s="30" t="s">
        <v>33</v>
      </c>
      <c r="J13" s="29" t="s">
        <v>76</v>
      </c>
      <c r="K13" s="31" t="s">
        <v>76</v>
      </c>
      <c r="L13" s="26" t="s">
        <v>76</v>
      </c>
    </row>
    <row r="14" ht="81.6" customHeight="1" spans="1:12" x14ac:dyDescent="0.25">
      <c r="A14" s="23" t="s">
        <v>616</v>
      </c>
      <c r="B14" s="24" t="s">
        <v>617</v>
      </c>
      <c r="C14" s="24" t="s">
        <v>618</v>
      </c>
      <c r="D14" s="25" t="s">
        <v>103</v>
      </c>
      <c r="E14" s="24" t="s">
        <v>619</v>
      </c>
      <c r="F14" s="24" t="s">
        <v>620</v>
      </c>
      <c r="G14" s="24" t="s">
        <v>621</v>
      </c>
      <c r="H14" s="26" t="s">
        <v>76</v>
      </c>
      <c r="I14" s="25" t="s">
        <v>33</v>
      </c>
      <c r="J14" s="24" t="s">
        <v>76</v>
      </c>
      <c r="K14" s="27" t="s">
        <v>76</v>
      </c>
      <c r="L14" s="26" t="s">
        <v>76</v>
      </c>
    </row>
    <row r="15" ht="81.6" customHeight="1" spans="1:12" x14ac:dyDescent="0.25">
      <c r="A15" s="28" t="s">
        <v>622</v>
      </c>
      <c r="B15" s="29" t="s">
        <v>623</v>
      </c>
      <c r="C15" s="29" t="s">
        <v>624</v>
      </c>
      <c r="D15" s="30" t="s">
        <v>103</v>
      </c>
      <c r="E15" s="29" t="s">
        <v>220</v>
      </c>
      <c r="F15" s="29" t="s">
        <v>625</v>
      </c>
      <c r="G15" s="29" t="s">
        <v>626</v>
      </c>
      <c r="H15" s="26" t="s">
        <v>76</v>
      </c>
      <c r="I15" s="30" t="s">
        <v>33</v>
      </c>
      <c r="J15" s="29" t="s">
        <v>76</v>
      </c>
      <c r="K15" s="31" t="s">
        <v>76</v>
      </c>
      <c r="L15" s="26" t="s">
        <v>76</v>
      </c>
    </row>
  </sheetData>
  <autoFilter ref="A3:L15"/>
  <mergeCells count="2">
    <mergeCell ref="A1:L1"/>
    <mergeCell ref="A2:L2"/>
  </mergeCells>
  <conditionalFormatting sqref="I4:I15">
    <cfRule type="cellIs" dxfId="26" priority="1" operator="equal">
      <formula>"Pass"</formula>
    </cfRule>
    <cfRule type="cellIs" dxfId="27" priority="2" operator="equal">
      <formula>"Fail"</formula>
    </cfRule>
    <cfRule type="cellIs" dxfId="28" priority="3" operator="equal">
      <formula>"Blocked"</formula>
    </cfRule>
    <cfRule type="cellIs" dxfId="29" priority="4" operator="equal">
      <formula>"N/A"</formula>
    </cfRule>
    <cfRule type="cellIs" dxfId="30" priority="5" operator="equal">
      <formula>"Not run"</formula>
    </cfRule>
  </conditionalFormatting>
  <conditionalFormatting sqref="D4:D15">
    <cfRule type="cellIs" dxfId="31" priority="6" operator="equal">
      <formula>"High"</formula>
    </cfRule>
  </conditionalFormatting>
  <dataValidations count="2">
    <dataValidation type="list" allowBlank="1" sqref="D4:D15">
      <formula1>"High,Medium,Low"</formula1>
    </dataValidation>
    <dataValidation type="list" showErrorMessage="1" errorTitle="Pick a status" error="Use Not run, Pass, Fail, Blocked or N/A." sqref="I4:I15">
      <formula1>"Not run,Pass,Fail,Blocked,N/A"</formula1>
    </dataValidation>
  </dataValidations>
  <pageMargins left="0.3" right="0.3" top="0.4" bottom="0.4" header="0.2" footer="0.2"/>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3"/>
  <sheetViews>
    <sheetView workbookViewId="0" showGridLines="0">
      <pane xSplit="1" ySplit="3" topLeftCell="B4" activePane="bottomRight" state="frozen"/>
      <selection pane="bottomRight"/>
    </sheetView>
  </sheetViews>
  <sheetFormatPr defaultRowHeight="15" outlineLevelRow="0" outlineLevelCol="0" x14ac:dyDescent="55"/>
  <cols>
    <col min="2" max="2" width="26" customWidth="1"/>
    <col min="3" max="3" width="34" customWidth="1"/>
    <col min="5" max="5" width="30" customWidth="1"/>
    <col min="6" max="6" width="56" customWidth="1"/>
    <col min="7" max="7" width="46" customWidth="1"/>
    <col min="8" max="8" width="26" customWidth="1"/>
    <col min="9" max="9" width="11" customWidth="1"/>
    <col min="10" max="10" width="13" customWidth="1"/>
    <col min="11" max="11" width="11" customWidth="1"/>
    <col min="12" max="12" width="24" customWidth="1"/>
  </cols>
  <sheetData>
    <row r="1" ht="26" customHeight="1" spans="1:12" x14ac:dyDescent="0.25">
      <c r="A1" s="1" t="s">
        <v>627</v>
      </c>
      <c r="B1" s="1"/>
      <c r="C1" s="1"/>
      <c r="D1" s="1"/>
      <c r="E1" s="1"/>
      <c r="F1" s="1"/>
      <c r="G1" s="1"/>
      <c r="H1" s="1"/>
      <c r="I1" s="1"/>
      <c r="J1" s="1"/>
      <c r="K1" s="1"/>
      <c r="L1" s="1"/>
    </row>
    <row r="2" ht="18" customHeight="1" spans="1:12" x14ac:dyDescent="0.25">
      <c r="A2" s="2" t="s">
        <v>628</v>
      </c>
      <c r="B2" s="2"/>
      <c r="C2" s="2"/>
      <c r="D2" s="2"/>
      <c r="E2" s="2"/>
      <c r="F2" s="2"/>
      <c r="G2" s="2"/>
      <c r="H2" s="2"/>
      <c r="I2" s="2"/>
      <c r="J2" s="2"/>
      <c r="K2" s="2"/>
      <c r="L2" s="2"/>
    </row>
    <row r="3" ht="24" customHeight="1" spans="1:12" x14ac:dyDescent="0.25">
      <c r="A3" s="8" t="s">
        <v>85</v>
      </c>
      <c r="B3" s="8" t="s">
        <v>86</v>
      </c>
      <c r="C3" s="8" t="s">
        <v>87</v>
      </c>
      <c r="D3" s="8" t="s">
        <v>43</v>
      </c>
      <c r="E3" s="8" t="s">
        <v>88</v>
      </c>
      <c r="F3" s="8" t="s">
        <v>89</v>
      </c>
      <c r="G3" s="8" t="s">
        <v>90</v>
      </c>
      <c r="H3" s="8" t="s">
        <v>91</v>
      </c>
      <c r="I3" s="8" t="s">
        <v>92</v>
      </c>
      <c r="J3" s="8" t="s">
        <v>16</v>
      </c>
      <c r="K3" s="8" t="s">
        <v>77</v>
      </c>
      <c r="L3" s="8" t="s">
        <v>93</v>
      </c>
    </row>
    <row r="4" ht="43.8" customHeight="1" spans="1:12" x14ac:dyDescent="0.25">
      <c r="A4" s="23" t="s">
        <v>629</v>
      </c>
      <c r="B4" s="24" t="s">
        <v>630</v>
      </c>
      <c r="C4" s="24" t="s">
        <v>631</v>
      </c>
      <c r="D4" s="25" t="s">
        <v>97</v>
      </c>
      <c r="E4" s="24" t="s">
        <v>632</v>
      </c>
      <c r="F4" s="24" t="s">
        <v>633</v>
      </c>
      <c r="G4" s="24" t="s">
        <v>634</v>
      </c>
      <c r="H4" s="26" t="s">
        <v>76</v>
      </c>
      <c r="I4" s="25" t="s">
        <v>33</v>
      </c>
      <c r="J4" s="24" t="s">
        <v>76</v>
      </c>
      <c r="K4" s="27" t="s">
        <v>76</v>
      </c>
      <c r="L4" s="26" t="s">
        <v>76</v>
      </c>
    </row>
    <row r="5" ht="30" customHeight="1" spans="1:12" x14ac:dyDescent="0.25">
      <c r="A5" s="28" t="s">
        <v>635</v>
      </c>
      <c r="B5" s="29" t="s">
        <v>636</v>
      </c>
      <c r="C5" s="29" t="s">
        <v>637</v>
      </c>
      <c r="D5" s="30" t="s">
        <v>97</v>
      </c>
      <c r="E5" s="29" t="s">
        <v>638</v>
      </c>
      <c r="F5" s="29" t="s">
        <v>639</v>
      </c>
      <c r="G5" s="29" t="s">
        <v>640</v>
      </c>
      <c r="H5" s="26" t="s">
        <v>76</v>
      </c>
      <c r="I5" s="30" t="s">
        <v>33</v>
      </c>
      <c r="J5" s="29" t="s">
        <v>76</v>
      </c>
      <c r="K5" s="31" t="s">
        <v>76</v>
      </c>
      <c r="L5" s="26" t="s">
        <v>76</v>
      </c>
    </row>
    <row r="6" ht="31.2" customHeight="1" spans="1:12" x14ac:dyDescent="0.25">
      <c r="A6" s="23" t="s">
        <v>641</v>
      </c>
      <c r="B6" s="24" t="s">
        <v>642</v>
      </c>
      <c r="C6" s="24" t="s">
        <v>643</v>
      </c>
      <c r="D6" s="25" t="s">
        <v>103</v>
      </c>
      <c r="E6" s="24" t="s">
        <v>638</v>
      </c>
      <c r="F6" s="24" t="s">
        <v>644</v>
      </c>
      <c r="G6" s="24" t="s">
        <v>645</v>
      </c>
      <c r="H6" s="26" t="s">
        <v>76</v>
      </c>
      <c r="I6" s="25" t="s">
        <v>33</v>
      </c>
      <c r="J6" s="24" t="s">
        <v>76</v>
      </c>
      <c r="K6" s="27" t="s">
        <v>76</v>
      </c>
      <c r="L6" s="26" t="s">
        <v>76</v>
      </c>
    </row>
    <row r="7" ht="43.8" customHeight="1" spans="1:12" x14ac:dyDescent="0.25">
      <c r="A7" s="28" t="s">
        <v>646</v>
      </c>
      <c r="B7" s="29" t="s">
        <v>647</v>
      </c>
      <c r="C7" s="29" t="s">
        <v>648</v>
      </c>
      <c r="D7" s="30" t="s">
        <v>97</v>
      </c>
      <c r="E7" s="29" t="s">
        <v>638</v>
      </c>
      <c r="F7" s="29" t="s">
        <v>649</v>
      </c>
      <c r="G7" s="29" t="s">
        <v>650</v>
      </c>
      <c r="H7" s="26" t="s">
        <v>76</v>
      </c>
      <c r="I7" s="30" t="s">
        <v>33</v>
      </c>
      <c r="J7" s="29" t="s">
        <v>76</v>
      </c>
      <c r="K7" s="31" t="s">
        <v>76</v>
      </c>
      <c r="L7" s="26" t="s">
        <v>76</v>
      </c>
    </row>
    <row r="8" ht="30" customHeight="1" spans="1:12" x14ac:dyDescent="0.25">
      <c r="A8" s="23" t="s">
        <v>651</v>
      </c>
      <c r="B8" s="24" t="s">
        <v>652</v>
      </c>
      <c r="C8" s="24" t="s">
        <v>653</v>
      </c>
      <c r="D8" s="25" t="s">
        <v>97</v>
      </c>
      <c r="E8" s="24" t="s">
        <v>638</v>
      </c>
      <c r="F8" s="24" t="s">
        <v>654</v>
      </c>
      <c r="G8" s="24" t="s">
        <v>655</v>
      </c>
      <c r="H8" s="26" t="s">
        <v>76</v>
      </c>
      <c r="I8" s="25" t="s">
        <v>33</v>
      </c>
      <c r="J8" s="24" t="s">
        <v>76</v>
      </c>
      <c r="K8" s="27" t="s">
        <v>76</v>
      </c>
      <c r="L8" s="26" t="s">
        <v>76</v>
      </c>
    </row>
    <row r="9" ht="81.6" customHeight="1" spans="1:12" x14ac:dyDescent="0.25">
      <c r="A9" s="28" t="s">
        <v>656</v>
      </c>
      <c r="B9" s="29" t="s">
        <v>657</v>
      </c>
      <c r="C9" s="29" t="s">
        <v>658</v>
      </c>
      <c r="D9" s="30" t="s">
        <v>97</v>
      </c>
      <c r="E9" s="29" t="s">
        <v>659</v>
      </c>
      <c r="F9" s="29" t="s">
        <v>660</v>
      </c>
      <c r="G9" s="29" t="s">
        <v>661</v>
      </c>
      <c r="H9" s="26" t="s">
        <v>76</v>
      </c>
      <c r="I9" s="30" t="s">
        <v>33</v>
      </c>
      <c r="J9" s="29" t="s">
        <v>76</v>
      </c>
      <c r="K9" s="31" t="s">
        <v>76</v>
      </c>
      <c r="L9" s="26" t="s">
        <v>76</v>
      </c>
    </row>
    <row r="10" ht="56.4" customHeight="1" spans="1:12" x14ac:dyDescent="0.25">
      <c r="A10" s="23" t="s">
        <v>662</v>
      </c>
      <c r="B10" s="24" t="s">
        <v>663</v>
      </c>
      <c r="C10" s="24" t="s">
        <v>664</v>
      </c>
      <c r="D10" s="25" t="s">
        <v>103</v>
      </c>
      <c r="E10" s="24" t="s">
        <v>665</v>
      </c>
      <c r="F10" s="24" t="s">
        <v>666</v>
      </c>
      <c r="G10" s="24" t="s">
        <v>667</v>
      </c>
      <c r="H10" s="26" t="s">
        <v>76</v>
      </c>
      <c r="I10" s="25" t="s">
        <v>33</v>
      </c>
      <c r="J10" s="24" t="s">
        <v>76</v>
      </c>
      <c r="K10" s="27" t="s">
        <v>76</v>
      </c>
      <c r="L10" s="26" t="s">
        <v>76</v>
      </c>
    </row>
    <row r="11" ht="56.4" customHeight="1" spans="1:12" x14ac:dyDescent="0.25">
      <c r="A11" s="28" t="s">
        <v>668</v>
      </c>
      <c r="B11" s="29" t="s">
        <v>669</v>
      </c>
      <c r="C11" s="29" t="s">
        <v>670</v>
      </c>
      <c r="D11" s="30" t="s">
        <v>103</v>
      </c>
      <c r="E11" s="29" t="s">
        <v>671</v>
      </c>
      <c r="F11" s="29" t="s">
        <v>672</v>
      </c>
      <c r="G11" s="29" t="s">
        <v>673</v>
      </c>
      <c r="H11" s="26" t="s">
        <v>76</v>
      </c>
      <c r="I11" s="30" t="s">
        <v>33</v>
      </c>
      <c r="J11" s="29" t="s">
        <v>76</v>
      </c>
      <c r="K11" s="31" t="s">
        <v>76</v>
      </c>
      <c r="L11" s="26" t="s">
        <v>76</v>
      </c>
    </row>
    <row r="12" ht="56.4" customHeight="1" spans="1:12" x14ac:dyDescent="0.25">
      <c r="A12" s="23" t="s">
        <v>674</v>
      </c>
      <c r="B12" s="24" t="s">
        <v>675</v>
      </c>
      <c r="C12" s="24" t="s">
        <v>676</v>
      </c>
      <c r="D12" s="25" t="s">
        <v>97</v>
      </c>
      <c r="E12" s="24" t="s">
        <v>671</v>
      </c>
      <c r="F12" s="24" t="s">
        <v>677</v>
      </c>
      <c r="G12" s="24" t="s">
        <v>678</v>
      </c>
      <c r="H12" s="26" t="s">
        <v>76</v>
      </c>
      <c r="I12" s="25" t="s">
        <v>33</v>
      </c>
      <c r="J12" s="24" t="s">
        <v>76</v>
      </c>
      <c r="K12" s="27" t="s">
        <v>76</v>
      </c>
      <c r="L12" s="26" t="s">
        <v>76</v>
      </c>
    </row>
    <row r="13" ht="69" customHeight="1" spans="1:12" x14ac:dyDescent="0.25">
      <c r="A13" s="28" t="s">
        <v>679</v>
      </c>
      <c r="B13" s="29" t="s">
        <v>680</v>
      </c>
      <c r="C13" s="29" t="s">
        <v>681</v>
      </c>
      <c r="D13" s="30" t="s">
        <v>97</v>
      </c>
      <c r="E13" s="29" t="s">
        <v>682</v>
      </c>
      <c r="F13" s="29" t="s">
        <v>683</v>
      </c>
      <c r="G13" s="29" t="s">
        <v>684</v>
      </c>
      <c r="H13" s="26" t="s">
        <v>76</v>
      </c>
      <c r="I13" s="30" t="s">
        <v>33</v>
      </c>
      <c r="J13" s="29" t="s">
        <v>76</v>
      </c>
      <c r="K13" s="31" t="s">
        <v>76</v>
      </c>
      <c r="L13" s="26" t="s">
        <v>76</v>
      </c>
    </row>
  </sheetData>
  <autoFilter ref="A3:L13"/>
  <mergeCells count="2">
    <mergeCell ref="A1:L1"/>
    <mergeCell ref="A2:L2"/>
  </mergeCells>
  <conditionalFormatting sqref="I4:I13">
    <cfRule type="cellIs" dxfId="32" priority="1" operator="equal">
      <formula>"Pass"</formula>
    </cfRule>
    <cfRule type="cellIs" dxfId="33" priority="2" operator="equal">
      <formula>"Fail"</formula>
    </cfRule>
    <cfRule type="cellIs" dxfId="34" priority="3" operator="equal">
      <formula>"Blocked"</formula>
    </cfRule>
    <cfRule type="cellIs" dxfId="35" priority="4" operator="equal">
      <formula>"N/A"</formula>
    </cfRule>
    <cfRule type="cellIs" dxfId="36" priority="5" operator="equal">
      <formula>"Not run"</formula>
    </cfRule>
  </conditionalFormatting>
  <conditionalFormatting sqref="D4:D13">
    <cfRule type="cellIs" dxfId="37" priority="6" operator="equal">
      <formula>"High"</formula>
    </cfRule>
  </conditionalFormatting>
  <dataValidations count="2">
    <dataValidation type="list" allowBlank="1" sqref="D4:D13">
      <formula1>"High,Medium,Low"</formula1>
    </dataValidation>
    <dataValidation type="list" showErrorMessage="1" errorTitle="Pick a status" error="Use Not run, Pass, Fail, Blocked or N/A." sqref="I4:I13">
      <formula1>"Not run,Pass,Fail,Blocked,N/A"</formula1>
    </dataValidation>
  </dataValidations>
  <pageMargins left="0.3" right="0.3" top="0.4" bottom="0.4" header="0.2" footer="0.2"/>
  <pageSetup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
  <sheetViews>
    <sheetView workbookViewId="0" showGridLines="0">
      <pane ySplit="3" topLeftCell="A4" activePane="bottomLeft" state="frozen"/>
      <selection pane="bottomLeft"/>
    </sheetView>
  </sheetViews>
  <sheetFormatPr defaultRowHeight="15" outlineLevelRow="0" outlineLevelCol="0" x14ac:dyDescent="55"/>
  <cols>
    <col min="1" max="1" width="8" customWidth="1"/>
    <col min="2" max="2" width="18" customWidth="1"/>
    <col min="3" max="3" width="30" customWidth="1"/>
    <col min="4" max="4" width="52" customWidth="1"/>
    <col min="5" max="5" width="34" customWidth="1"/>
    <col min="6" max="6" width="20" customWidth="1"/>
    <col min="7" max="7" width="18" customWidth="1"/>
    <col min="8" max="8" width="40" customWidth="1"/>
  </cols>
  <sheetData>
    <row r="1" ht="26" customHeight="1" spans="1:8" x14ac:dyDescent="0.25">
      <c r="A1" s="1" t="s">
        <v>685</v>
      </c>
      <c r="B1" s="1"/>
      <c r="C1" s="1"/>
      <c r="D1" s="1"/>
      <c r="E1" s="1"/>
      <c r="F1" s="1"/>
      <c r="G1" s="1"/>
      <c r="H1" s="1"/>
    </row>
    <row r="2" ht="18" customHeight="1" spans="1:8" x14ac:dyDescent="0.25">
      <c r="A2" s="2" t="s">
        <v>686</v>
      </c>
      <c r="B2" s="2"/>
      <c r="C2" s="2"/>
      <c r="D2" s="2"/>
      <c r="E2" s="2"/>
      <c r="F2" s="2"/>
      <c r="G2" s="2"/>
      <c r="H2" s="2"/>
    </row>
    <row r="3" ht="24" customHeight="1" spans="1:8" x14ac:dyDescent="0.25">
      <c r="A3" s="32" t="s">
        <v>687</v>
      </c>
      <c r="B3" s="32" t="s">
        <v>688</v>
      </c>
      <c r="C3" s="32" t="s">
        <v>689</v>
      </c>
      <c r="D3" s="32" t="s">
        <v>690</v>
      </c>
      <c r="E3" s="32" t="s">
        <v>691</v>
      </c>
      <c r="F3" s="32" t="s">
        <v>692</v>
      </c>
      <c r="G3" s="32" t="s">
        <v>693</v>
      </c>
      <c r="H3" s="32" t="s">
        <v>694</v>
      </c>
    </row>
    <row r="4" ht="69" customHeight="1" spans="1:8" x14ac:dyDescent="0.25">
      <c r="A4" s="23" t="s">
        <v>695</v>
      </c>
      <c r="B4" s="24" t="s">
        <v>63</v>
      </c>
      <c r="C4" s="24" t="s">
        <v>696</v>
      </c>
      <c r="D4" s="24" t="s">
        <v>697</v>
      </c>
      <c r="E4" s="24" t="s">
        <v>698</v>
      </c>
      <c r="F4" s="33" t="s">
        <v>76</v>
      </c>
      <c r="G4" s="33" t="s">
        <v>76</v>
      </c>
      <c r="H4" s="24" t="s">
        <v>699</v>
      </c>
    </row>
    <row r="5" ht="56.4" customHeight="1" spans="1:8" x14ac:dyDescent="0.25">
      <c r="A5" s="28" t="s">
        <v>700</v>
      </c>
      <c r="B5" s="29" t="s">
        <v>701</v>
      </c>
      <c r="C5" s="29" t="s">
        <v>702</v>
      </c>
      <c r="D5" s="29" t="s">
        <v>703</v>
      </c>
      <c r="E5" s="29" t="s">
        <v>704</v>
      </c>
      <c r="F5" s="33" t="s">
        <v>76</v>
      </c>
      <c r="G5" s="33" t="s">
        <v>76</v>
      </c>
      <c r="H5" s="29" t="s">
        <v>705</v>
      </c>
    </row>
    <row r="6" ht="43.8" customHeight="1" spans="1:8" x14ac:dyDescent="0.25">
      <c r="A6" s="23" t="s">
        <v>706</v>
      </c>
      <c r="B6" s="24" t="s">
        <v>701</v>
      </c>
      <c r="C6" s="24" t="s">
        <v>707</v>
      </c>
      <c r="D6" s="24" t="s">
        <v>708</v>
      </c>
      <c r="E6" s="24" t="s">
        <v>709</v>
      </c>
      <c r="F6" s="33" t="s">
        <v>76</v>
      </c>
      <c r="G6" s="33" t="s">
        <v>76</v>
      </c>
      <c r="H6" s="24" t="s">
        <v>710</v>
      </c>
    </row>
    <row r="7" ht="43.8" customHeight="1" spans="1:8" x14ac:dyDescent="0.25">
      <c r="A7" s="28" t="s">
        <v>711</v>
      </c>
      <c r="B7" s="29" t="s">
        <v>63</v>
      </c>
      <c r="C7" s="29" t="s">
        <v>712</v>
      </c>
      <c r="D7" s="29" t="s">
        <v>713</v>
      </c>
      <c r="E7" s="29" t="s">
        <v>714</v>
      </c>
      <c r="F7" s="33" t="s">
        <v>76</v>
      </c>
      <c r="G7" s="33" t="s">
        <v>76</v>
      </c>
      <c r="H7" s="29" t="s">
        <v>715</v>
      </c>
    </row>
    <row r="8" ht="43.8" customHeight="1" spans="1:8" x14ac:dyDescent="0.25">
      <c r="A8" s="23" t="s">
        <v>716</v>
      </c>
      <c r="B8" s="24" t="s">
        <v>63</v>
      </c>
      <c r="C8" s="24" t="s">
        <v>717</v>
      </c>
      <c r="D8" s="24" t="s">
        <v>718</v>
      </c>
      <c r="E8" s="24" t="s">
        <v>719</v>
      </c>
      <c r="F8" s="33" t="s">
        <v>76</v>
      </c>
      <c r="G8" s="33" t="s">
        <v>76</v>
      </c>
      <c r="H8" s="24" t="s">
        <v>720</v>
      </c>
    </row>
    <row r="9" ht="43.8" customHeight="1" spans="1:8" x14ac:dyDescent="0.25">
      <c r="A9" s="28" t="s">
        <v>721</v>
      </c>
      <c r="B9" s="29" t="s">
        <v>63</v>
      </c>
      <c r="C9" s="29" t="s">
        <v>722</v>
      </c>
      <c r="D9" s="29" t="s">
        <v>723</v>
      </c>
      <c r="E9" s="29" t="s">
        <v>724</v>
      </c>
      <c r="F9" s="33" t="s">
        <v>76</v>
      </c>
      <c r="G9" s="33" t="s">
        <v>76</v>
      </c>
      <c r="H9" s="29" t="s">
        <v>725</v>
      </c>
    </row>
    <row r="10" ht="69" customHeight="1" spans="1:8" x14ac:dyDescent="0.25">
      <c r="A10" s="23" t="s">
        <v>726</v>
      </c>
      <c r="B10" s="24" t="s">
        <v>727</v>
      </c>
      <c r="C10" s="24" t="s">
        <v>728</v>
      </c>
      <c r="D10" s="24" t="s">
        <v>729</v>
      </c>
      <c r="E10" s="24" t="s">
        <v>730</v>
      </c>
      <c r="F10" s="33" t="s">
        <v>76</v>
      </c>
      <c r="G10" s="33" t="s">
        <v>76</v>
      </c>
      <c r="H10" s="24" t="s">
        <v>731</v>
      </c>
    </row>
    <row r="11" ht="56.4" customHeight="1" spans="1:8" x14ac:dyDescent="0.25">
      <c r="A11" s="28" t="s">
        <v>732</v>
      </c>
      <c r="B11" s="29" t="s">
        <v>733</v>
      </c>
      <c r="C11" s="29" t="s">
        <v>734</v>
      </c>
      <c r="D11" s="29" t="s">
        <v>735</v>
      </c>
      <c r="E11" s="29" t="s">
        <v>736</v>
      </c>
      <c r="F11" s="33" t="s">
        <v>76</v>
      </c>
      <c r="G11" s="33" t="s">
        <v>76</v>
      </c>
      <c r="H11" s="29" t="s">
        <v>737</v>
      </c>
    </row>
  </sheetData>
  <autoFilter ref="A3:H11"/>
  <mergeCells count="2">
    <mergeCell ref="A1:H1"/>
    <mergeCell ref="A2:H2"/>
  </mergeCells>
  <dataValidations count="1">
    <dataValidation type="list" allowBlank="1" sqref="F4:F11">
      <formula1>"Open,Decided — keep,Decided — change,Deferred"</formula1>
    </dataValidation>
  </dataValidations>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
  <sheetViews>
    <sheetView workbookViewId="0" showGridLines="0"/>
  </sheetViews>
  <sheetFormatPr defaultRowHeight="15" outlineLevelRow="0" outlineLevelCol="0" x14ac:dyDescent="55"/>
  <cols>
    <col min="1" max="1" width="16" customWidth="1"/>
    <col min="2" max="2" width="12" customWidth="1"/>
    <col min="3" max="4" width="10" customWidth="1"/>
    <col min="5" max="5" width="12" customWidth="1"/>
    <col min="6" max="6" width="10" customWidth="1"/>
    <col min="7" max="7" width="11" customWidth="1"/>
    <col min="8" max="8" width="12" customWidth="1"/>
    <col min="9" max="9" width="44" customWidth="1"/>
  </cols>
  <sheetData>
    <row r="1" ht="26" customHeight="1" spans="1:9" x14ac:dyDescent="0.25">
      <c r="A1" s="1" t="s">
        <v>55</v>
      </c>
      <c r="B1" s="1"/>
      <c r="C1" s="1"/>
      <c r="D1" s="1"/>
      <c r="E1" s="1"/>
      <c r="F1" s="1"/>
      <c r="G1" s="1"/>
      <c r="H1" s="1"/>
      <c r="I1" s="1"/>
    </row>
    <row r="2" ht="18" customHeight="1" spans="1:9" x14ac:dyDescent="0.25">
      <c r="A2" s="2" t="s">
        <v>56</v>
      </c>
      <c r="B2" s="2"/>
      <c r="C2" s="2"/>
      <c r="D2" s="2"/>
      <c r="E2" s="2"/>
      <c r="F2" s="2"/>
      <c r="G2" s="2"/>
      <c r="H2" s="2"/>
      <c r="I2" s="2"/>
    </row>
    <row r="3" ht="24" customHeight="1" spans="1:9" x14ac:dyDescent="0.25">
      <c r="A3" s="8" t="s">
        <v>57</v>
      </c>
      <c r="B3" s="8" t="s">
        <v>58</v>
      </c>
      <c r="C3" s="8" t="s">
        <v>35</v>
      </c>
      <c r="D3" s="8" t="s">
        <v>37</v>
      </c>
      <c r="E3" s="8" t="s">
        <v>39</v>
      </c>
      <c r="F3" s="8" t="s">
        <v>41</v>
      </c>
      <c r="G3" s="8" t="s">
        <v>33</v>
      </c>
      <c r="H3" s="8" t="s">
        <v>59</v>
      </c>
      <c r="I3" s="8" t="s">
        <v>60</v>
      </c>
    </row>
    <row r="4" ht="22" customHeight="1" spans="1:9" x14ac:dyDescent="0.25">
      <c r="A4" s="9" t="s">
        <v>61</v>
      </c>
      <c r="B4" s="10">
        <f>COUNTA(Overview!$A$4:$A$29)</f>
        <v>26</v>
      </c>
      <c r="C4" s="10">
        <f>COUNTIF(Overview!$I$4:$I$29,"Pass")</f>
        <v>0</v>
      </c>
      <c r="D4" s="10">
        <f>COUNTIF(Overview!$I$4:$I$29,"Fail")</f>
        <v>0</v>
      </c>
      <c r="E4" s="10">
        <f>COUNTIF(Overview!$I$4:$I$29,"Blocked")</f>
        <v>0</v>
      </c>
      <c r="F4" s="10">
        <f>COUNTIF(Overview!$I$4:$I$29,"N/A")</f>
        <v>0</v>
      </c>
      <c r="G4" s="10">
        <f>COUNTIF(Overview!$I$4:$I$29,"Not run")</f>
        <v>26</v>
      </c>
      <c r="H4" s="11">
        <f>IFERROR((B4-G4)/B4,0)</f>
        <v>0</v>
      </c>
      <c r="I4" s="12" t="s">
        <v>62</v>
      </c>
    </row>
    <row r="5" ht="22" customHeight="1" spans="1:9" x14ac:dyDescent="0.25">
      <c r="A5" s="13" t="s">
        <v>63</v>
      </c>
      <c r="B5" s="14">
        <f>COUNTA(Tasks!$A$4:$A$30)</f>
        <v>27</v>
      </c>
      <c r="C5" s="14">
        <f>COUNTIF(Tasks!$I$4:$I$30,"Pass")</f>
        <v>0</v>
      </c>
      <c r="D5" s="14">
        <f>COUNTIF(Tasks!$I$4:$I$30,"Fail")</f>
        <v>0</v>
      </c>
      <c r="E5" s="14">
        <f>COUNTIF(Tasks!$I$4:$I$30,"Blocked")</f>
        <v>0</v>
      </c>
      <c r="F5" s="14">
        <f>COUNTIF(Tasks!$I$4:$I$30,"N/A")</f>
        <v>0</v>
      </c>
      <c r="G5" s="14">
        <f>COUNTIF(Tasks!$I$4:$I$30,"Not run")</f>
        <v>27</v>
      </c>
      <c r="H5" s="15">
        <f>IFERROR((B5-G5)/B5,0)</f>
        <v>0</v>
      </c>
      <c r="I5" s="16" t="s">
        <v>64</v>
      </c>
    </row>
    <row r="6" ht="22" customHeight="1" spans="1:9" x14ac:dyDescent="0.25">
      <c r="A6" s="9" t="s">
        <v>65</v>
      </c>
      <c r="B6" s="10">
        <f>COUNTA(Documents!$A$4:$A$13)</f>
        <v>10</v>
      </c>
      <c r="C6" s="10">
        <f>COUNTIF(Documents!$I$4:$I$13,"Pass")</f>
        <v>0</v>
      </c>
      <c r="D6" s="10">
        <f>COUNTIF(Documents!$I$4:$I$13,"Fail")</f>
        <v>0</v>
      </c>
      <c r="E6" s="10">
        <f>COUNTIF(Documents!$I$4:$I$13,"Blocked")</f>
        <v>0</v>
      </c>
      <c r="F6" s="10">
        <f>COUNTIF(Documents!$I$4:$I$13,"N/A")</f>
        <v>0</v>
      </c>
      <c r="G6" s="10">
        <f>COUNTIF(Documents!$I$4:$I$13,"Not run")</f>
        <v>10</v>
      </c>
      <c r="H6" s="11">
        <f>IFERROR((B6-G6)/B6,0)</f>
        <v>0</v>
      </c>
      <c r="I6" s="12" t="s">
        <v>66</v>
      </c>
    </row>
    <row r="7" ht="22" customHeight="1" spans="1:9" x14ac:dyDescent="0.25">
      <c r="A7" s="13" t="s">
        <v>67</v>
      </c>
      <c r="B7" s="14">
        <f>COUNTA(Sheets!$A$4:$A$26)</f>
        <v>23</v>
      </c>
      <c r="C7" s="14">
        <f>COUNTIF(Sheets!$I$4:$I$26,"Pass")</f>
        <v>0</v>
      </c>
      <c r="D7" s="14">
        <f>COUNTIF(Sheets!$I$4:$I$26,"Fail")</f>
        <v>0</v>
      </c>
      <c r="E7" s="14">
        <f>COUNTIF(Sheets!$I$4:$I$26,"Blocked")</f>
        <v>0</v>
      </c>
      <c r="F7" s="14">
        <f>COUNTIF(Sheets!$I$4:$I$26,"N/A")</f>
        <v>0</v>
      </c>
      <c r="G7" s="14">
        <f>COUNTIF(Sheets!$I$4:$I$26,"Not run")</f>
        <v>23</v>
      </c>
      <c r="H7" s="15">
        <f>IFERROR((B7-G7)/B7,0)</f>
        <v>0</v>
      </c>
      <c r="I7" s="16" t="s">
        <v>68</v>
      </c>
    </row>
    <row r="8" ht="22" customHeight="1" spans="1:9" x14ac:dyDescent="0.25">
      <c r="A8" s="9" t="s">
        <v>69</v>
      </c>
      <c r="B8" s="10">
        <f>COUNTA(Everywhere!$A$4:$A$15)</f>
        <v>12</v>
      </c>
      <c r="C8" s="10">
        <f>COUNTIF(Everywhere!$I$4:$I$15,"Pass")</f>
        <v>0</v>
      </c>
      <c r="D8" s="10">
        <f>COUNTIF(Everywhere!$I$4:$I$15,"Fail")</f>
        <v>0</v>
      </c>
      <c r="E8" s="10">
        <f>COUNTIF(Everywhere!$I$4:$I$15,"Blocked")</f>
        <v>0</v>
      </c>
      <c r="F8" s="10">
        <f>COUNTIF(Everywhere!$I$4:$I$15,"N/A")</f>
        <v>0</v>
      </c>
      <c r="G8" s="10">
        <f>COUNTIF(Everywhere!$I$4:$I$15,"Not run")</f>
        <v>12</v>
      </c>
      <c r="H8" s="11">
        <f>IFERROR((B8-G8)/B8,0)</f>
        <v>0</v>
      </c>
      <c r="I8" s="12" t="s">
        <v>70</v>
      </c>
    </row>
    <row r="9" ht="22" customHeight="1" spans="1:9" x14ac:dyDescent="0.25">
      <c r="A9" s="13" t="s">
        <v>71</v>
      </c>
      <c r="B9" s="14">
        <f>COUNTA(Regression!$A$4:$A$13)</f>
        <v>10</v>
      </c>
      <c r="C9" s="14">
        <f>COUNTIF(Regression!$I$4:$I$13,"Pass")</f>
        <v>0</v>
      </c>
      <c r="D9" s="14">
        <f>COUNTIF(Regression!$I$4:$I$13,"Fail")</f>
        <v>0</v>
      </c>
      <c r="E9" s="14">
        <f>COUNTIF(Regression!$I$4:$I$13,"Blocked")</f>
        <v>0</v>
      </c>
      <c r="F9" s="14">
        <f>COUNTIF(Regression!$I$4:$I$13,"N/A")</f>
        <v>0</v>
      </c>
      <c r="G9" s="14">
        <f>COUNTIF(Regression!$I$4:$I$13,"Not run")</f>
        <v>10</v>
      </c>
      <c r="H9" s="15">
        <f>IFERROR((B9-G9)/B9,0)</f>
        <v>0</v>
      </c>
      <c r="I9" s="16" t="s">
        <v>72</v>
      </c>
    </row>
    <row r="10" ht="22" customHeight="1" spans="1:9" x14ac:dyDescent="0.25">
      <c r="A10" s="17" t="s">
        <v>73</v>
      </c>
      <c r="B10" s="18">
        <f>SUM(B4:B9)</f>
        <v>108</v>
      </c>
      <c r="C10" s="18">
        <f>SUM(C4:C9)</f>
        <v>0</v>
      </c>
      <c r="D10" s="18">
        <f>SUM(D4:D9)</f>
        <v>0</v>
      </c>
      <c r="E10" s="18">
        <f>SUM(E4:E9)</f>
        <v>0</v>
      </c>
      <c r="F10" s="18">
        <f>SUM(F4:F9)</f>
        <v>0</v>
      </c>
      <c r="G10" s="18">
        <f>SUM(G4:G9)</f>
        <v>108</v>
      </c>
      <c r="H10" s="19">
        <f>IFERROR((B10-G10)/B10,0)</f>
        <v>0</v>
      </c>
      <c r="I10" s="17" t="s">
        <v>74</v>
      </c>
    </row>
    <row r="12" ht="20" customHeight="1" spans="1:9" x14ac:dyDescent="0.25">
      <c r="A12" s="3" t="s">
        <v>75</v>
      </c>
      <c r="B12" s="3"/>
      <c r="C12" s="3"/>
      <c r="D12" s="3"/>
      <c r="E12" s="3"/>
      <c r="F12" s="3"/>
      <c r="G12" s="3"/>
      <c r="H12" s="3"/>
      <c r="I12" s="3"/>
    </row>
    <row r="13" ht="22" customHeight="1" spans="1:9" x14ac:dyDescent="0.25">
      <c r="A13" s="20" t="s">
        <v>16</v>
      </c>
      <c r="B13" s="21" t="s">
        <v>76</v>
      </c>
      <c r="C13" s="20" t="s">
        <v>77</v>
      </c>
      <c r="D13" s="21" t="s">
        <v>76</v>
      </c>
      <c r="E13" s="22" t="s">
        <v>76</v>
      </c>
      <c r="F13" s="22" t="s">
        <v>76</v>
      </c>
      <c r="G13" s="22" t="s">
        <v>76</v>
      </c>
      <c r="H13" s="22" t="s">
        <v>76</v>
      </c>
      <c r="I13" s="22" t="s">
        <v>78</v>
      </c>
    </row>
    <row r="14" ht="22" customHeight="1" spans="1:9" x14ac:dyDescent="0.25">
      <c r="A14" s="20" t="s">
        <v>79</v>
      </c>
      <c r="B14" s="21" t="s">
        <v>76</v>
      </c>
      <c r="C14" s="20" t="s">
        <v>77</v>
      </c>
      <c r="D14" s="21" t="s">
        <v>76</v>
      </c>
      <c r="E14" s="22" t="s">
        <v>76</v>
      </c>
      <c r="F14" s="22" t="s">
        <v>76</v>
      </c>
      <c r="G14" s="22" t="s">
        <v>76</v>
      </c>
      <c r="H14" s="22" t="s">
        <v>76</v>
      </c>
      <c r="I14" s="22" t="s">
        <v>80</v>
      </c>
    </row>
    <row r="15" ht="22" customHeight="1" spans="1:9" x14ac:dyDescent="0.25">
      <c r="A15" s="20" t="s">
        <v>81</v>
      </c>
      <c r="B15" s="21" t="s">
        <v>76</v>
      </c>
      <c r="C15" s="20" t="s">
        <v>77</v>
      </c>
      <c r="D15" s="21" t="s">
        <v>76</v>
      </c>
      <c r="E15" s="22" t="s">
        <v>76</v>
      </c>
      <c r="F15" s="22" t="s">
        <v>76</v>
      </c>
      <c r="G15" s="22" t="s">
        <v>76</v>
      </c>
      <c r="H15" s="22" t="s">
        <v>76</v>
      </c>
      <c r="I15" s="22" t="s">
        <v>82</v>
      </c>
    </row>
  </sheetData>
  <mergeCells count="3">
    <mergeCell ref="A1:I1"/>
    <mergeCell ref="A2:I2"/>
    <mergeCell ref="A12:I12"/>
  </mergeCells>
  <conditionalFormatting sqref="D4:D9">
    <cfRule type="cellIs" dxfId="0" priority="1" operator="greaterThan">
      <formula>0</formula>
    </cfRule>
  </conditionalFormatting>
  <conditionalFormatting sqref="E4:E9">
    <cfRule type="cellIs" dxfId="1" priority="1" operator="greaterThan">
      <formula>0</formula>
    </cfRule>
  </conditionalFormatting>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How to use</vt:lpstr>
      <vt:lpstr>Summary</vt:lpstr>
      <vt:lpstr>Overview</vt:lpstr>
      <vt:lpstr>Tasks</vt:lpstr>
      <vt:lpstr>Documents</vt:lpstr>
      <vt:lpstr>Sheets</vt:lpstr>
      <vt:lpstr>Everywhere</vt:lpstr>
      <vt:lpstr>Regression</vt:lpstr>
      <vt:lpstr>Open items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Cowork QA</dc:creator>
  <dc:title/>
  <dc:subject/>
  <dc:description/>
  <cp:keywords/>
  <cp:category/>
  <cp:lastModifiedBy>Unknown</cp:lastModifiedBy>
  <dcterms:created xsi:type="dcterms:W3CDTF">2026-08-17T18:30:00Z</dcterms:created>
  <dcterms:modified xsi:type="dcterms:W3CDTF">2026-08-18T08:16:57Z</dcterms:modified>
</cp:coreProperties>
</file>