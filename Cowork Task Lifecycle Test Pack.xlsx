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14.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How to use" state="visible" r:id="rId4"/>
    <sheet sheetId="14" name="Summary" state="visible" r:id="rId5"/>
    <sheet sheetId="2" name="Fixtures" state="visible" r:id="rId6"/>
    <sheet sheetId="3" name="Creation" state="visible" r:id="rId7"/>
    <sheet sheetId="4" name="Gates" state="visible" r:id="rId8"/>
    <sheet sheetId="5" name="Acceptance" state="visible" r:id="rId9"/>
    <sheet sheetId="6" name="Budget" state="visible" r:id="rId10"/>
    <sheet sheetId="7" name="Deadline" state="visible" r:id="rId11"/>
    <sheet sheetId="8" name="Timer" state="visible" r:id="rId12"/>
    <sheet sheetId="9" name="Submission" state="visible" r:id="rId13"/>
    <sheet sheetId="10" name="E2E same-dept" state="visible" r:id="rId14"/>
    <sheet sheetId="11" name="E2E cross-dept" state="visible" r:id="rId15"/>
    <sheet sheetId="12" name="Bar parity" state="visible" r:id="rId16"/>
    <sheet sheetId="13" name="Visibility" state="visible" r:id="rId17"/>
  </sheets>
  <definedNames>
    <definedName name="_xlnm.Print_Titles" localSheetId="3">'Creation'!$3:$3</definedName>
    <definedName name="_xlnm.Print_Titles" localSheetId="4">'Gates'!$3:$3</definedName>
    <definedName name="_xlnm.Print_Titles" localSheetId="5">'Acceptance'!$3:$3</definedName>
    <definedName name="_xlnm.Print_Titles" localSheetId="6">'Budget'!$3:$3</definedName>
    <definedName name="_xlnm.Print_Titles" localSheetId="7">'Deadline'!$3:$3</definedName>
    <definedName name="_xlnm.Print_Titles" localSheetId="8">'Timer'!$3:$3</definedName>
    <definedName name="_xlnm.Print_Titles" localSheetId="9">'Submission'!$3:$3</definedName>
    <definedName name="_xlnm.Print_Titles" localSheetId="10">'E2E same-dept'!$3:$3</definedName>
    <definedName name="_xlnm.Print_Titles" localSheetId="11">'E2E cross-dept'!$3:$3</definedName>
    <definedName name="_xlnm.Print_Titles" localSheetId="12">'Bar parity'!$3:$3</definedName>
    <definedName name="_xlnm.Print_Titles" localSheetId="13">'Visibility'!$3:$3</definedName>
  </definedNames>
  <calcPr calcId="171027"/>
</workbook>
</file>

<file path=xl/sharedStrings.xml><?xml version="1.0" encoding="utf-8"?>
<sst xmlns="http://schemas.openxmlformats.org/spreadsheetml/2006/main" count="1935" uniqueCount="959">
  <si>
    <t>Cowork — task lifecycle test pack</t>
  </si>
  <si>
    <t>Creation to submission, same department and cross department, plus the home page's active-work bar against the Tasks surfaces.</t>
  </si>
  <si>
    <t>What this pack covers</t>
  </si>
  <si>
    <t>Scope</t>
  </si>
  <si>
    <t>One task's whole life: raising it, the approval gates, the assignee taking it on, the time-budget loop, the deadline and requests for more time, the clock, handing the work in, review, rework and completion — each tested inside one department and across two.</t>
  </si>
  <si>
    <t>Two E2E tabs</t>
  </si>
  <si>
    <t>“E2E same-dept” and “E2E cross-dept” are SCRIPTED RUNS: the rows go in order and each one assumes the row above passed. Everything else can be run in any order.</t>
  </si>
  <si>
    <t>Bar parity</t>
  </si>
  <si>
    <t>The “Bar parity” tab is the specific ask: the active-work bar on /home must offer the same step, in the same words, writing the same record, as the Tasks surfaces. Anything that differs is a defect on the bar, not a variation.</t>
  </si>
  <si>
    <t>Before you start</t>
  </si>
  <si>
    <t>Build under test</t>
  </si>
  <si>
    <t>Record the commit SHA here →</t>
  </si>
  <si>
    <t>Environment</t>
  </si>
  <si>
    <t>Record the URL / environment here →</t>
  </si>
  <si>
    <t>Tested by</t>
  </si>
  <si>
    <t>Record here →</t>
  </si>
  <si>
    <t>Start date</t>
  </si>
  <si>
    <t>Settings state</t>
  </si>
  <si>
    <t>Several Submission cases change the task rules in the settings console. Record the STARTING values here → and put them back afterwards.</t>
  </si>
  <si>
    <t>Task rules defaults</t>
  </si>
  <si>
    <t>Criteria before submit: Off. Timer before submit: Allow. Submission note: Optional. After rejection: Allow resubmit. An unsaved settings document means these defaults are in force.</t>
  </si>
  <si>
    <t>The org you need</t>
  </si>
  <si>
    <t>Fixtures tab</t>
  </si>
  <si>
    <t>The Fixtures tab lists the ten people, their departments and reporting lines, and the nine assignor → assignee pairs (FX-01 … FX-09) the cases refer to. Set that org up first, or map each fixture reference to whoever plays that part in your data and write the mapping on the Fixtures tab.</t>
  </si>
  <si>
    <t>The one to get right</t>
  </si>
  <si>
    <t>EMP-ENG-2 sits in Engineering but reports to the Design manager. That pair (FX-07) is what proves a reporting line beats a department boundary — without it, the cross-department tests cannot tell a real gate from a wrongly raised one.</t>
  </si>
  <si>
    <t>Departments</t>
  </si>
  <si>
    <t>At least two, each with a head who can approve — the SENDING head and the RECEIVING head are different people and their order matters.</t>
  </si>
  <si>
    <t>The rules being tested, in one place</t>
  </si>
  <si>
    <t>Deadline model</t>
  </si>
  <si>
    <t>Inside the reporting line → a negotiable BUDGET in hours and minutes. Outside it → a FIXED date set by the assigning side. The department does not decide this; the reporting line does.</t>
  </si>
  <si>
    <t>Approval gate</t>
  </si>
  <si>
    <t>A cross-department gate is raised only when NO reporting line reaches the assignee — and a DIRECT manager clears it even across a boundary, while a skip-level manager does not. Assigning to somebody senior raises the upward gate instead, and the senior assignee approves it themselves.</t>
  </si>
  <si>
    <t>Gate order</t>
  </si>
  <si>
    <t>Sending department first, receiving department second. Clearing the sender is what makes the receiver's stage current.</t>
  </si>
  <si>
    <t>Budget loop</t>
  </si>
  <si>
    <t>Symmetric: whoever is waited on may accept or counter, and every counter passes the turn to the other side. A counter from the assignee goes to the person who decides their hours — their PRIMARY MANAGER, not whoever sent the work. There is no reject; agreement is the only exit.</t>
  </si>
  <si>
    <t>More time</t>
  </si>
  <si>
    <t>Two different questions with two different owners. How many HOURS this person gets — their manager. When the work is DUE — the assignor. The hours are asked first, and only the manager escalates the date.</t>
  </si>
  <si>
    <t>Timer</t>
  </si>
  <si>
    <t>Elapsed is derived from timestamps, so it survives reloads and throttled tabs. One timer at a time. You cannot start a clock while away, but you can always stop one. Past the deadline the clock will not run — and nothing else is blocked.</t>
  </si>
  <si>
    <t>Review</t>
  </si>
  <si>
    <t>Whoever assigned the task reviews it, alone, and their approval is final. Rework returns the task with the time that was LEFT when it was handed in — finishing early is what earns rework time.</t>
  </si>
  <si>
    <t>Legend</t>
  </si>
  <si>
    <t>Not run</t>
  </si>
  <si>
    <t>Not yet attempted. The starting value of every row.</t>
  </si>
  <si>
    <t>Pass</t>
  </si>
  <si>
    <t>Behaves exactly as the Expected result column describes.</t>
  </si>
  <si>
    <t>Fail</t>
  </si>
  <si>
    <t>Differs. Record what actually happened and raise a defect.</t>
  </si>
  <si>
    <t>Blocked</t>
  </si>
  <si>
    <t>Cannot be tested — environment, a missing fixture, or an earlier E2E step that failed.</t>
  </si>
  <si>
    <t>N/A</t>
  </si>
  <si>
    <t>Not applicable to this build or environment. Say why in Notes.</t>
  </si>
  <si>
    <t>Priority</t>
  </si>
  <si>
    <t>High — must pass before release. Medium — should pass. Low — cosmetic.</t>
  </si>
  <si>
    <t>How to report</t>
  </si>
  <si>
    <t>Quote the ID</t>
  </si>
  <si>
    <t>Test IDs are stable. Quote them in defect reports — “XD-07 fails” locates the case exactly.</t>
  </si>
  <si>
    <t>Say which surface</t>
  </si>
  <si>
    <t>For anything involving the bar, state whether the behaviour was seen on /home, on /tasks, or on the task page. A defect that appears on one surface only is a different defect from one that appears on both.</t>
  </si>
  <si>
    <t>Record the figures</t>
  </si>
  <si>
    <t>Timer and deadline cases turn on numbers. Write the actual figures into Actual result — “showed 3:00 for 30 seconds of work” is a report; “timer wrong” is not.</t>
  </si>
  <si>
    <t>Summary — progress and result</t>
  </si>
  <si>
    <t>Counts come from the Status column on each tab. Nothing here is typed by hand.</t>
  </si>
  <si>
    <t>Module</t>
  </si>
  <si>
    <t>Cases</t>
  </si>
  <si>
    <t>% complete</t>
  </si>
  <si>
    <t>What it covers</t>
  </si>
  <si>
    <t>Creation</t>
  </si>
  <si>
    <t>Raising a task: the form, the picker, the relationship and the deadline model it chooses</t>
  </si>
  <si>
    <t>Gates</t>
  </si>
  <si>
    <t>Approval before the work lands: no gate, upward, and the two-stage cross-department gate</t>
  </si>
  <si>
    <t>Acceptance</t>
  </si>
  <si>
    <t>The assignee taking the work on — accepting terms, refusing terms, confirming receipt</t>
  </si>
  <si>
    <t>Budget</t>
  </si>
  <si>
    <t>The time-budget loop: counter, whose turn, no reject, agreement</t>
  </si>
  <si>
    <t>Deadline</t>
  </si>
  <si>
    <t>Where the date comes from, asking for more time, and the deadline's block on the clock</t>
  </si>
  <si>
    <t>Real elapsed time, one timer at a time, presence and the three surfaces agreeing</t>
  </si>
  <si>
    <t>Submission</t>
  </si>
  <si>
    <t>Handing work in, the review chain, rework and its deadline, approval</t>
  </si>
  <si>
    <t>E2E same-dept</t>
  </si>
  <si>
    <t>Run in order, top to bottom. MGR-DES → EMP-DES-1 (FX-01), creation through completion</t>
  </si>
  <si>
    <t>E2E cross-dept</t>
  </si>
  <si>
    <t>Run in order, top to bottom. MGR-DES → EMP-ENG-1 (FX-06), both gates through completion</t>
  </si>
  <si>
    <t>The home page's active-work bar must behave exactly as the Tasks surfaces do</t>
  </si>
  <si>
    <t>Visibility</t>
  </si>
  <si>
    <t>Who sees what, and who may act — scopes, gated work and permission boundaries</t>
  </si>
  <si>
    <t>All modules</t>
  </si>
  <si>
    <t>The two E2E tabs are scripted runs — a failed step blocks the ones beneath it.</t>
  </si>
  <si>
    <t>Sign-off</t>
  </si>
  <si>
    <t/>
  </si>
  <si>
    <t>Date</t>
  </si>
  <si>
    <t>Who ran the pack.</t>
  </si>
  <si>
    <t>Reviewed by</t>
  </si>
  <si>
    <t>Who checked the failures and the retests.</t>
  </si>
  <si>
    <t>Released by</t>
  </si>
  <si>
    <t>Sign only when every High case passes and both E2E runs complete end to end.</t>
  </si>
  <si>
    <t>Fixtures — the org these tests assume</t>
  </si>
  <si>
    <t>Set this up before running anything, or map each reference to your own people in the last column.</t>
  </si>
  <si>
    <t>Ref</t>
  </si>
  <si>
    <t>Person</t>
  </si>
  <si>
    <t>Department</t>
  </si>
  <si>
    <t>Reports to</t>
  </si>
  <si>
    <t>Why they are in the fixture</t>
  </si>
  <si>
    <t>Who plays this in your data</t>
  </si>
  <si>
    <t>CE</t>
  </si>
  <si>
    <t>Chief executive</t>
  </si>
  <si>
    <t>—</t>
  </si>
  <si>
    <t>nobody</t>
  </si>
  <si>
    <t>Top of the reporting line. Needed for the ceo_direct review flow and for tasks with no parent.</t>
  </si>
  <si>
    <t>ADMIN</t>
  </si>
  <si>
    <t>System administrator</t>
  </si>
  <si>
    <t>Operations</t>
  </si>
  <si>
    <t>Passes the admin-console check. Needed for the Private/Team lens and the settings console.</t>
  </si>
  <si>
    <t>HOD-DES</t>
  </si>
  <si>
    <t>Head of Design</t>
  </si>
  <si>
    <t>Design</t>
  </si>
  <si>
    <t>Department head for Design — the SENDING approver on cross-department work leaving Design.</t>
  </si>
  <si>
    <t>HOD-ENG</t>
  </si>
  <si>
    <t>Head of Engineering</t>
  </si>
  <si>
    <t>Engineering</t>
  </si>
  <si>
    <t>Department head for Engineering — the RECEIVING approver on work arriving into Engineering.</t>
  </si>
  <si>
    <t>MGR-DES</t>
  </si>
  <si>
    <t>Design manager</t>
  </si>
  <si>
    <t>Assignor for most of this pack. Manages EMP-DES-1, EMP-DES-2 and (deliberately) EMP-ENG-2.</t>
  </si>
  <si>
    <t>EMP-DES-1</t>
  </si>
  <si>
    <t>Designer 1</t>
  </si>
  <si>
    <t>The main assignee. Same department, inside the line.</t>
  </si>
  <si>
    <t>EMP-DES-2</t>
  </si>
  <si>
    <t>Designer 2</t>
  </si>
  <si>
    <t>A PEER of EMP-DES-1 — same department, no reporting line between them.</t>
  </si>
  <si>
    <t>MGR-ENG</t>
  </si>
  <si>
    <t>Engineering manager</t>
  </si>
  <si>
    <t>The assignee's primary manager on cross-department work — decides EMP-ENG-1's hours.</t>
  </si>
  <si>
    <t>EMP-ENG-1</t>
  </si>
  <si>
    <t>Engineer 1</t>
  </si>
  <si>
    <t>The cross-department assignee. No line reaches them from Design.</t>
  </si>
  <si>
    <t>EMP-ENG-2</t>
  </si>
  <si>
    <t>Engineer 2</t>
  </si>
  <si>
    <t>DELIBERATE ODDITY: sits in Engineering but reports directly to the Design manager. Proves a reporting line beats a department boundary.</t>
  </si>
  <si>
    <t>Assignment matrix — what each pair should produce</t>
  </si>
  <si>
    <t>Assignor → assignee</t>
  </si>
  <si>
    <t>Relationship</t>
  </si>
  <si>
    <t>Why</t>
  </si>
  <si>
    <t>FX-01</t>
  </si>
  <si>
    <t>MGR-DES → EMP-DES-1</t>
  </si>
  <si>
    <t>in_line</t>
  </si>
  <si>
    <t>Budget (negotiable window)</t>
  </si>
  <si>
    <t>None</t>
  </si>
  <si>
    <t>The assignee reports to the creator. Same department, but the line is what decides.</t>
  </si>
  <si>
    <t>FX-02</t>
  </si>
  <si>
    <t>HOD-DES → EMP-DES-1</t>
  </si>
  <si>
    <t>Skip-level inside the same department: still inside the reporting closure.</t>
  </si>
  <si>
    <t>FX-03</t>
  </si>
  <si>
    <t>EMP-DES-1 → EMP-DES-2</t>
  </si>
  <si>
    <t>outside_line</t>
  </si>
  <si>
    <t>Fixed date</t>
  </si>
  <si>
    <t>Same department, no line between peers. Sharing a department grants nothing.</t>
  </si>
  <si>
    <t>FX-04</t>
  </si>
  <si>
    <t>EMP-DES-1 → MGR-DES</t>
  </si>
  <si>
    <t>Upward — the senior assignee approves</t>
  </si>
  <si>
    <t>Assigning to somebody senior raises the upward gate; the approver is the senior assignee themselves.</t>
  </si>
  <si>
    <t>FX-05</t>
  </si>
  <si>
    <t>EMP-DES-1 → self</t>
  </si>
  <si>
    <t>self</t>
  </si>
  <si>
    <t>Budget, proposed by the assignee</t>
  </si>
  <si>
    <t>None to start; the MANAGER decides the budget</t>
  </si>
  <si>
    <t>A self task's window is proposed by the assignee and decided by their manager.</t>
  </si>
  <si>
    <t>FX-06</t>
  </si>
  <si>
    <t>MGR-DES → EMP-ENG-1</t>
  </si>
  <si>
    <t>cross_department</t>
  </si>
  <si>
    <t>Cross-department — HOD-DES then HOD-ENG</t>
  </si>
  <si>
    <t>No line reaches the assignee and a boundary is crossed. Both heads approve.</t>
  </si>
  <si>
    <t>FX-07</t>
  </si>
  <si>
    <t>MGR-DES → EMP-ENG-2</t>
  </si>
  <si>
    <t>THE REGRESSION CASE: a direct report in another department. The line spans the boundary, so no gate and no fixed date.</t>
  </si>
  <si>
    <t>FX-08</t>
  </si>
  <si>
    <t>HOD-DES → EMP-ENG-2</t>
  </si>
  <si>
    <t>Cross-department — both heads</t>
  </si>
  <si>
    <t>Skip-level ACROSS a boundary: budget (full line) AND two approvers (only a DIRECT manager clears the gate). Both, and that is correct.</t>
  </si>
  <si>
    <t>FX-09</t>
  </si>
  <si>
    <t>MGR-DES → EMP-DES-1 + EMP-ENG-1</t>
  </si>
  <si>
    <t>Cross-department</t>
  </si>
  <si>
    <t>Mixed list: one assignee outside the line is enough to move the whole task to the stricter model.</t>
  </si>
  <si>
    <t>Each matrix row is itself a test: create a task for that pair and the form's own forecast sentence must describe the relationship named here. FX-07 and FX-08 are the two that catch a department boundary being allowed to speak over a reporting line.</t>
  </si>
  <si>
    <t>Creation — test cases</t>
  </si>
  <si>
    <t>Raising a task: the form, the picker, the relationship and the deadline model it chooses  ·  14 cases</t>
  </si>
  <si>
    <t>Test ID</t>
  </si>
  <si>
    <t>Area / step</t>
  </si>
  <si>
    <t>What is under test</t>
  </si>
  <si>
    <t>Pre-condition</t>
  </si>
  <si>
    <t>Test steps</t>
  </si>
  <si>
    <t>Expected result</t>
  </si>
  <si>
    <t>Actual result</t>
  </si>
  <si>
    <t>Status</t>
  </si>
  <si>
    <t>Notes / defect ref</t>
  </si>
  <si>
    <t>TC-01</t>
  </si>
  <si>
    <t>Create — entry points</t>
  </si>
  <si>
    <t>Reaching the create form</t>
  </si>
  <si>
    <t>High</t>
  </si>
  <si>
    <t>Signed in as MGR-DES with permission to create tasks.</t>
  </si>
  <si>
    <t xml:space="preserve">1. From /home, press New task in the QuickAssign card.
2. Note the URL.
3. Go back, open /tasks and press New task on the tab row.
4. Compare the two forms.</t>
  </si>
  <si>
    <t>Both routes land on /tasks/new and render the identical form. There is no second, older create form behind either button.</t>
  </si>
  <si>
    <t>TC-02</t>
  </si>
  <si>
    <t>Create — required fields</t>
  </si>
  <si>
    <t>Title and assignee are enforced</t>
  </si>
  <si>
    <t>On /tasks/new as MGR-DES.</t>
  </si>
  <si>
    <t xml:space="preserve">1. Press the create button with everything empty.
2. Enter a title only and press create.
3. Add an assignee and create.</t>
  </si>
  <si>
    <t>Creation is refused until a title and at least one assignee are present. The refusal for a missing assignee reads "Assign to at least one person." — a sentence, not a field name such as "assigneeIds required".</t>
  </si>
  <si>
    <t>TC-03</t>
  </si>
  <si>
    <t>Create — assignee picker</t>
  </si>
  <si>
    <t>Search, department and role filters</t>
  </si>
  <si>
    <t>Medium</t>
  </si>
  <si>
    <t xml:space="preserve">1. Search an employee by name.
2. Filter by department = Engineering.
3. Filter by role.
4. Clear both filters.
5. Look for your own name in the list.</t>
  </si>
  <si>
    <t>Search and both filters narrow the list correctly. Your own name is NOT offered (a task for yourself is the Self type). Only people this viewer may be offered are listed — the picker and the write agree.</t>
  </si>
  <si>
    <t>TC-04</t>
  </si>
  <si>
    <t>Create — relationship forecast</t>
  </si>
  <si>
    <t>The form names the relationship before you commit</t>
  </si>
  <si>
    <t>On /tasks/new as MGR-DES. Use the Fixtures tab.</t>
  </si>
  <si>
    <t xml:space="preserve">1. Pick EMP-DES-1 and read the note under the People group.
2. Change to EMP-ENG-1 and read it again.
3. Change to EMP-ENG-2 and read it again.
4. Add EMP-DES-1 AND EMP-ENG-1 together.</t>
  </si>
  <si>
    <t>FX-01 shows the in_line forecast ("within your reporting hierarchy… you set a working window"). FX-06 shows the cross-department forecast ("outside your reporting hierarchy and in another department… both department heads approve"). FX-07 shows in_line, NOT cross-department. FX-09 falls to the cross-department wording.</t>
  </si>
  <si>
    <t>TC-05</t>
  </si>
  <si>
    <t>Create — deadline model</t>
  </si>
  <si>
    <t>The model follows the relationship, not the department</t>
  </si>
  <si>
    <t xml:space="preserve">1. Pick EMP-DES-1 and look at the Deadline group.
2. Pick EMP-DES-2 as the only assignee (as EMP-DES-1, per FX-03).
3. Pick EMP-ENG-2 (FX-07).
4. Pick EMP-ENG-1 (FX-06).</t>
  </si>
  <si>
    <t>In-line assignees (FX-01, FX-07) offer a BUDGET — an hours/minutes window. Assignees with no line (FX-03, FX-06) offer a fixed Due date and no budget field. FX-07 in particular must show a budget: a direct report in another department is not a cross-department task.</t>
  </si>
  <si>
    <t>TC-06</t>
  </si>
  <si>
    <t>Create — budget field</t>
  </si>
  <si>
    <t>The window is entered as hours and minutes</t>
  </si>
  <si>
    <t>Creating an in-line task.</t>
  </si>
  <si>
    <t xml:space="preserve">1. Enter 2h 30m in the budget field.
2. Step the minutes up from 55.
3. Create the task and open it.</t>
  </si>
  <si>
    <t>The field takes hours and minutes, minutes step in fives and roll into the hour, and the created task carries exactly the window entered.</t>
  </si>
  <si>
    <t>TC-07</t>
  </si>
  <si>
    <t>Create — fixed date</t>
  </si>
  <si>
    <t>A date-and-time is required outside the line</t>
  </si>
  <si>
    <t>Creating a task for EMP-ENG-1 (FX-06).</t>
  </si>
  <si>
    <t xml:space="preserve">1. Leave the due date empty and try to create.
2. Set a date in the past.
3. Set a valid future date and time and create.</t>
  </si>
  <si>
    <t>The date is required, a past date is refused or flagged, and the created task carries the exact instant set — date AND time, not a bare date.</t>
  </si>
  <si>
    <t>TC-08</t>
  </si>
  <si>
    <t>Create — requirements</t>
  </si>
  <si>
    <t>Acceptance criteria are captured</t>
  </si>
  <si>
    <t>On /tasks/new.</t>
  </si>
  <si>
    <t xml:space="preserve">1. Add three requirements.
2. Edit one and remove another.
3. Create the task.
4. Open the task and read the completion checklist.</t>
  </si>
  <si>
    <t>Requirements are added, edited and removed before creation, and all surviving ones appear on the task in the order entered.</t>
  </si>
  <si>
    <t>TC-09</t>
  </si>
  <si>
    <t>Create — attachments</t>
  </si>
  <si>
    <t>Reference files are attached at creation</t>
  </si>
  <si>
    <t>On /tasks/new, with a file to hand.</t>
  </si>
  <si>
    <t xml:space="preserve">1. Attach a reference file.
2. Create the task.
3. Open the task's Files tab as the assignee.</t>
  </si>
  <si>
    <t>The file uploads, is listed on the created task, and the assignee can open it.</t>
  </si>
  <si>
    <t>TC-10</t>
  </si>
  <si>
    <t>Create — self task</t>
  </si>
  <si>
    <t>A self task assigns to you</t>
  </si>
  <si>
    <t>Signed in as EMP-DES-1.</t>
  </si>
  <si>
    <t xml:space="preserve">1. Choose the Self type.
2. Note who the assignee list contains.
3. Set a window and create.
4. Open the task.</t>
  </si>
  <si>
    <t>The task is created with EMP-DES-1 as the assignee even though the picker never offered them. It reads as self-assigned (FX-05), and the window is a proposal waiting on their manager — not an agreed figure.</t>
  </si>
  <si>
    <t>TC-11</t>
  </si>
  <si>
    <t>Create — project / parent</t>
  </si>
  <si>
    <t>A task can be created under a parent</t>
  </si>
  <si>
    <t>A project or parent task exists.</t>
  </si>
  <si>
    <t xml:space="preserve">1. Set Parent task on the create form.
2. Create.
3. Open the parent.</t>
  </si>
  <si>
    <t>The new task appears beneath the parent, and the parent's completion progress counts it.</t>
  </si>
  <si>
    <t>TC-12</t>
  </si>
  <si>
    <t>Create — subtask deadline cap</t>
  </si>
  <si>
    <t>A subtask cannot outlive its parent</t>
  </si>
  <si>
    <t>A parent task with a deadline.</t>
  </si>
  <si>
    <t xml:space="preserve">1. Create a subtask with a deadline AFTER the parent's.
2. Read the refusal.
3. Set it inside the parent's deadline and create.</t>
  </si>
  <si>
    <t>The later deadline is refused with the cap explained, naming the parent's deadline. Inside the cap it is accepted.</t>
  </si>
  <si>
    <t>TC-13</t>
  </si>
  <si>
    <t>Create — goal task</t>
  </si>
  <si>
    <t>A goal task carries its share of the pool</t>
  </si>
  <si>
    <t>Signed in as somebody who may create goal tasks.</t>
  </si>
  <si>
    <t xml:space="preserve">1. Choose the Goal type.
2. Enter a goal statement and a target date.
3. Set the share of the year's goal points.
4. Create and open the task.</t>
  </si>
  <si>
    <t>Goal statement and target date are stored separately from the task's description and deadline. The share is recorded against the pool as it stood at creation — changing the pool later does not move this task's figure.</t>
  </si>
  <si>
    <t>TC-14</t>
  </si>
  <si>
    <t>Create — confirmation</t>
  </si>
  <si>
    <t>The created task lands where the creator expects</t>
  </si>
  <si>
    <t>Any created task.</t>
  </si>
  <si>
    <t xml:space="preserve">1. Create a task for EMP-DES-1.
2. Note where you are taken.
3. Open /tasks as MGR-DES and find it.
4. Sign in as EMP-DES-1 and find it under My tasks.</t>
  </si>
  <si>
    <t>The creator reaches the created task (or the list with it visible). It appears in the assignee's My tasks and under the assignee's heading in the manager's My team. It is not double-counted.</t>
  </si>
  <si>
    <t>Gates — test cases</t>
  </si>
  <si>
    <t>Approval before the work lands: no gate, upward, and the two-stage cross-department gate  ·  13 cases</t>
  </si>
  <si>
    <t>GT-01</t>
  </si>
  <si>
    <t>No gate — in line</t>
  </si>
  <si>
    <t>An in-line task needs no approval</t>
  </si>
  <si>
    <t>MGR-DES creates a task for EMP-DES-1 (FX-01).</t>
  </si>
  <si>
    <t xml:space="preserve">1. Create the task.
2. Read its status immediately.
3. Check for any pending approval on it.</t>
  </si>
  <si>
    <t>The task goes straight to the assignee — status Assigned (or the budget offer), never Pending approval. No approval record is created.</t>
  </si>
  <si>
    <t>GT-02</t>
  </si>
  <si>
    <t>Upward gate</t>
  </si>
  <si>
    <t>Assigning to somebody senior needs their approval</t>
  </si>
  <si>
    <t>EMP-DES-1 creates a task for MGR-DES (FX-04).</t>
  </si>
  <si>
    <t xml:space="preserve">1. Create the task as EMP-DES-1.
2. Read the status and the flow section.
3. Sign in as MGR-DES and find the approval.
4. Approve it.
5. Sign in as somebody else senior and check they were NOT asked.</t>
  </si>
  <si>
    <t>Status is Pending approval and the flow names MGR-DES as the approver — the senior assignee themselves, not a department head. Only that person can decide it. After approval the task proceeds normally.</t>
  </si>
  <si>
    <t>GT-03</t>
  </si>
  <si>
    <t>Cross-department gate</t>
  </si>
  <si>
    <t>Both heads approve, sender first</t>
  </si>
  <si>
    <t>MGR-DES creates a task for EMP-ENG-1 (FX-06).</t>
  </si>
  <si>
    <t xml:space="preserve">1. Create the task.
2. Read the flow section as MGR-DES.
3. Sign in as HOD-ENG and try to approve before HOD-DES has.
4. Sign in as HOD-DES and approve.
5. Return to HOD-ENG and approve.</t>
  </si>
  <si>
    <t>The flow lists the sending department (HOD-DES) as current and the receiving one (HOD-ENG) as upcoming/waiting. HOD-ENG cannot clear their stage first. Clearing the sender flips the receiver from waiting to pending. After both, the task lands on EMP-ENG-1.</t>
  </si>
  <si>
    <t>GT-04</t>
  </si>
  <si>
    <t>The task is not the assignee's until both approve</t>
  </si>
  <si>
    <t>The FX-06 task at Pending approval.</t>
  </si>
  <si>
    <t xml:space="preserve">1. Sign in as EMP-ENG-1.
2. Look in My tasks.
3. Open the task by its direct URL.
4. Try to confirm receipt or start a timer.</t>
  </si>
  <si>
    <t>The task is not in their My tasks list as owned work, and the page offers no accept, confirm or start control. Nothing they press can take it on before the gates clear.</t>
  </si>
  <si>
    <t>GT-05</t>
  </si>
  <si>
    <t>The pending assignee is told work is coming</t>
  </si>
  <si>
    <t>Create the FX-06 task with notifications visible for EMP-ENG-1.</t>
  </si>
  <si>
    <t xml:space="preserve">1. Create the task as MGR-DES.
2. Sign in as EMP-ENG-1 and open Notifications immediately.
3. Read the wording.</t>
  </si>
  <si>
    <t>EMP-ENG-1 receives a notification that work is heading their way, pending approval — NOT a "task assigned" notification. The wording does not claim they have been assigned work that a head can still refuse.</t>
  </si>
  <si>
    <t>GT-06</t>
  </si>
  <si>
    <t>The approvers are notified</t>
  </si>
  <si>
    <t>Create the FX-06 task.</t>
  </si>
  <si>
    <t xml:space="preserve">1. Sign in as HOD-DES and check notifications.
2. Approve, then sign in as HOD-ENG and check notifications.</t>
  </si>
  <si>
    <t>Each head is notified when their own stage becomes current — the receiving head is not asked before the sending head has cleared.</t>
  </si>
  <si>
    <t>GT-07</t>
  </si>
  <si>
    <t>A refusal ends the task honestly</t>
  </si>
  <si>
    <t>The FX-06 task with HOD-DES already approved.</t>
  </si>
  <si>
    <t xml:space="preserve">1. Sign in as HOD-ENG and reject with a reason.
2. Read the task as MGR-DES.
3. Read it as EMP-ENG-1.</t>
  </si>
  <si>
    <t>Status becomes Assignment rejected. The flow shows the refusing stage as blocked with the reason and the name. Nothing downstream happens, and EMP-ENG-1 never holds the work.</t>
  </si>
  <si>
    <t>GT-08</t>
  </si>
  <si>
    <t>A direct manager across a boundary raises no gate</t>
  </si>
  <si>
    <t>MGR-DES creates a task for EMP-ENG-2 (FX-07).</t>
  </si>
  <si>
    <t xml:space="preserve">1. Create the task.
2. Read the status and the flow.
3. Check whether either head was asked.</t>
  </si>
  <si>
    <t>No cross-department approval is raised — the reporting line spans the boundary. Neither HOD-DES nor HOD-ENG is asked. The task carries a negotiable budget, not a fixed date.</t>
  </si>
  <si>
    <t>GT-09</t>
  </si>
  <si>
    <t>Skip-level across a boundary gets both</t>
  </si>
  <si>
    <t>HOD-DES creates a task for EMP-ENG-2 (FX-08).</t>
  </si>
  <si>
    <t xml:space="preserve">1. Create the task.
2. Read the deadline model on the created task.
3. Read the approval flow.</t>
  </si>
  <si>
    <t>The task carries a BUDGET (the full reporting line reaches EMP-ENG-2) AND a cross-department approval by both heads (only a direct manager clears the gate). Both at once is the expected answer, not a contradiction.</t>
  </si>
  <si>
    <t>GT-10</t>
  </si>
  <si>
    <t>Flow section</t>
  </si>
  <si>
    <t>The flow answers whose turn it is</t>
  </si>
  <si>
    <t>Any gated task.</t>
  </si>
  <si>
    <t xml:space="preserve">1. Open the task and read the flow section.
2. Note whose turn it is, what happens next and why it is waiting.</t>
  </si>
  <si>
    <t>The flow names the person who owes the next action, what follows, and the reason it is waiting. Exactly one stage is current, or none. Nothing is guessed: where the record names nobody it says "Waiting for department approval" rather than inventing a name.</t>
  </si>
  <si>
    <t>GT-11</t>
  </si>
  <si>
    <t>Cleared stages carry who and when</t>
  </si>
  <si>
    <t>A task with at least one approval already given.</t>
  </si>
  <si>
    <t>1. Read each cleared stage.</t>
  </si>
  <si>
    <t>Each done stage names the person who cleared it and when. Timestamps appear only on stages that actually happened.</t>
  </si>
  <si>
    <t>GT-12</t>
  </si>
  <si>
    <t>Approval — effort estimate</t>
  </si>
  <si>
    <t>A budget stage asks for a number, not a verdict</t>
  </si>
  <si>
    <t>A task whose pending approval is an effort estimate.</t>
  </si>
  <si>
    <t xml:space="preserve">1. Open it as the approver.
2. Read the action offered.</t>
  </si>
  <si>
    <t>The action reads "Set the time budget", not "Approve or reject" — there are deliberately no approve/reject buttons on a stage that asks for a figure.</t>
  </si>
  <si>
    <t>GT-13</t>
  </si>
  <si>
    <t>Approval — wrong person</t>
  </si>
  <si>
    <t>Nobody else can clear a stage</t>
  </si>
  <si>
    <t>A task pending on HOD-ENG.</t>
  </si>
  <si>
    <t xml:space="preserve">1. Sign in as MGR-ENG (not an approver) and open the task.
2. Look for approve/reject controls.
3. If the endpoint is reachable, attempt the write directly.</t>
  </si>
  <si>
    <t>No approval controls are offered, and a direct attempt is refused by the server — the screen and the write agree about who may decide.</t>
  </si>
  <si>
    <t>Acceptance — test cases</t>
  </si>
  <si>
    <t>The assignee taking the work on — accepting terms, refusing terms, confirming receipt  ·  8 cases</t>
  </si>
  <si>
    <t>AC-01</t>
  </si>
  <si>
    <t>Acceptance — the offer</t>
  </si>
  <si>
    <t>The assignee is offered the terms</t>
  </si>
  <si>
    <t>An FX-01 budget task just created for EMP-DES-1.</t>
  </si>
  <si>
    <t xml:space="preserve">1. Sign in as EMP-DES-1 and open /home.
2. Read the bar's action.
3. Open the task page and read its action.</t>
  </si>
  <si>
    <t>Both surfaces offer the same step — "Accept or discuss the time" on the page, and the bar's Approve task / Send for approval pair, which is the same decision. Neither offers a control the other withholds.</t>
  </si>
  <si>
    <t>AC-02</t>
  </si>
  <si>
    <t>Acceptance — accept as it stands</t>
  </si>
  <si>
    <t>Accepting the offered window takes the task on</t>
  </si>
  <si>
    <t>As above.</t>
  </si>
  <si>
    <t xml:space="preserve">1. Leave the figure untouched and press Approve task.
2. Read the status.
3. Reload.</t>
  </si>
  <si>
    <t>One press accepts the terms and takes the task on — no second "Confirm receipt" step. The status advances and survives a reload.</t>
  </si>
  <si>
    <t>AC-03</t>
  </si>
  <si>
    <t>Acceptance — who may accept</t>
  </si>
  <si>
    <t>Only an assignee can accept</t>
  </si>
  <si>
    <t>The FX-01 task, unaccepted.</t>
  </si>
  <si>
    <t xml:space="preserve">1. Sign in as MGR-DES (the creator) and open the task.
2. Look for a Confirm receipt or Approve control.
3. Sign in as an unrelated employee and look again.</t>
  </si>
  <si>
    <t>Neither the creator nor a bystander is offered acceptance. The control is offered to the assignee only — the screen does not offer a write the server would refuse with a 403.</t>
  </si>
  <si>
    <t>AC-04</t>
  </si>
  <si>
    <t>Acceptance — do not be stricter than the engine</t>
  </si>
  <si>
    <t>The control is offered even mid-negotiation</t>
  </si>
  <si>
    <t>A budget task whose window is still being agreed.</t>
  </si>
  <si>
    <t xml:space="preserve">1. As the assignee, open the task while the budget is unsettled.
2. Look for the acceptance control.
3. Press it and read any refusal.</t>
  </si>
  <si>
    <t>The control is offered rather than hidden. If the engine refuses, its own sentence is shown — e.g. asking for a deadline to be proposed and approved first. The screen never renders "Your move" above nothing.</t>
  </si>
  <si>
    <t>AC-05</t>
  </si>
  <si>
    <t>Acceptance — refusing the terms</t>
  </si>
  <si>
    <t>There is no decline, but there is a refusal</t>
  </si>
  <si>
    <t xml:space="preserve">1. As the assignee, look for a Decline control.
2. Change the figure on the stepper and press Send for approval.
3. Try to send with an empty reason.
4. Send with a reason.</t>
  </si>
  <si>
    <t>No decline control exists anywhere. Refusing the TERMS is done by countering the window with a required reason. An empty reason is refused. Sending opens the budget negotiation and leaves the task where it was — it is not rejected or returned.</t>
  </si>
  <si>
    <t>AC-06</t>
  </si>
  <si>
    <t>Acceptance — fixed-date task</t>
  </si>
  <si>
    <t>A date task is confirmed, not negotiated</t>
  </si>
  <si>
    <t>The FX-06 task, both approvals cleared, as EMP-ENG-1.</t>
  </si>
  <si>
    <t xml:space="preserve">1. Open the task.
2. Look for a budget stepper.
3. Read the action offered on the bar and the page.</t>
  </si>
  <si>
    <t>There is no budget stepper — the date was set by the assigning side. The action is Confirm receipt, and it is the same on both surfaces.</t>
  </si>
  <si>
    <t>AC-07</t>
  </si>
  <si>
    <t>Acceptance — start</t>
  </si>
  <si>
    <t>Confirmed work offers Start</t>
  </si>
  <si>
    <t>A task confirmed but not started.</t>
  </si>
  <si>
    <t xml:space="preserve">1. Read the action on the task page.
2. Read the bar.
3. Press start.</t>
  </si>
  <si>
    <t>Both say Start work. The clock reads 00:00:00 before the press and begins on it.</t>
  </si>
  <si>
    <t>AC-08</t>
  </si>
  <si>
    <t>Acceptance — away</t>
  </si>
  <si>
    <t>Being away suspends your move</t>
  </si>
  <si>
    <t>The assignee has an active break / away duty mode.</t>
  </si>
  <si>
    <t xml:space="preserve">1. Set the assignee away.
2. Open the task and the bar.
3. Check the dashboard "needs action" counts.
4. Try to start the timer.</t>
  </si>
  <si>
    <t>Whatever the task would otherwise ask — confirm, accept, start, submit — both surfaces show the away sentence instead, and the task is kept OUT of needs-action counts. Starting a timer is refused by the server, not just hidden.</t>
  </si>
  <si>
    <t>Budget — test cases</t>
  </si>
  <si>
    <t>The time-budget loop: counter, whose turn, no reject, agreement  ·  8 cases</t>
  </si>
  <si>
    <t>BN-01</t>
  </si>
  <si>
    <t>Budget — the loop</t>
  </si>
  <si>
    <t>Either side may counter or accept</t>
  </si>
  <si>
    <t>An FX-01 budget task, offer outstanding.</t>
  </si>
  <si>
    <t xml:space="preserve">1. As EMP-DES-1, counter with a different figure and a reason.
2. Read whose turn it becomes.
3. As that person, counter again.
4. Read whose turn it becomes.</t>
  </si>
  <si>
    <t>Every counter passes the turn to the OTHER party. Whoever is waited on may either accept what stands or counter — the same person is never shown an accept control over their own outstanding proposal.</t>
  </si>
  <si>
    <t>BN-02</t>
  </si>
  <si>
    <t>Budget — who answers a counter</t>
  </si>
  <si>
    <t>The turn goes to the assignee's MANAGER</t>
  </si>
  <si>
    <t>An FX-06-style task where the assignor is NOT the assignee's manager. Use a task assigned by HOD-DES to EMP-ENG-2 (FX-08), whose manager is MGR-DES.</t>
  </si>
  <si>
    <t xml:space="preserve">1. As the assignee, counter the window.
2. Read who the task now waits on.
3. Sign in as that person and confirm the decision is offered.
4. Sign in as the assignor and confirm it is NOT offered to them.</t>
  </si>
  <si>
    <t>The counter goes to the person who decides that employee's hours — their primary manager — not to whoever sent the work. The assignor sees it as waiting on somebody else. Where no manager can be resolved it falls back to the assignor, and only then.</t>
  </si>
  <si>
    <t>BN-03</t>
  </si>
  <si>
    <t>Budget — no reject</t>
  </si>
  <si>
    <t>Disagreement is a counter, never a refusal</t>
  </si>
  <si>
    <t>A budget negotiation in flight.</t>
  </si>
  <si>
    <t>1. Look for a Reject or Decline control at every stage of the loop.</t>
  </si>
  <si>
    <t>There is none. The only exit is agreement — a refusal that ended the negotiation would leave the work carrying a budget one side never agreed to.</t>
  </si>
  <si>
    <t>BN-04</t>
  </si>
  <si>
    <t>Budget — agreement</t>
  </si>
  <si>
    <t>Agreeing settles the task and derives the deadline</t>
  </si>
  <si>
    <t xml:space="preserve">1. Accept the figure on the table.
2. Read the task's status and its deadline.
3. Compare with the queue position.</t>
  </si>
  <si>
    <t>State becomes agreed, work can start, and the task now carries a deadline derived from the window and the queue — the assignee never typed a date.</t>
  </si>
  <si>
    <t>BN-05</t>
  </si>
  <si>
    <t>Budget — history</t>
  </si>
  <si>
    <t>Every round is recorded</t>
  </si>
  <si>
    <t>A negotiation with at least three rounds.</t>
  </si>
  <si>
    <t xml:space="preserve">1. Open the task's budget history.
2. Read each entry.</t>
  </si>
  <si>
    <t>Every figure, who proposed it, when, and the reason given, in order. The round count matches the number of proposals.</t>
  </si>
  <si>
    <t>BN-06</t>
  </si>
  <si>
    <t>Budget — self task</t>
  </si>
  <si>
    <t>A self task's window is decided by the manager</t>
  </si>
  <si>
    <t>EMP-DES-1 created a self task (FX-05) with a proposed window.</t>
  </si>
  <si>
    <t xml:space="preserve">1. As EMP-DES-1, read the action offered.
2. Sign in as MGR-DES and read theirs.
3. Decide the budget as MGR-DES.
4. Return to EMP-DES-1.</t>
  </si>
  <si>
    <t>EMP-DES-1 is told the budget is awaiting a decision — they are NOT offered "Propose a deadline" or "Confirm receipt" over a figure they already proposed. MGR-DES is offered "Decide the time budget". After the decision the assignee can proceed.</t>
  </si>
  <si>
    <t>BN-07</t>
  </si>
  <si>
    <t>Budget — bar parity</t>
  </si>
  <si>
    <t>The bar's stepper is the panel's control</t>
  </si>
  <si>
    <t>A budget offer outstanding for the viewer.</t>
  </si>
  <si>
    <t xml:space="preserve">1. Change the figure on the bar's stepper; note the value and the rollover behaviour.
2. Open the task page and change it there.
3. Send from the bar; then repeat the exercise sending from the page.</t>
  </si>
  <si>
    <t>Both surfaces use the same stepper with the same 5-minute steps and hour rollover, and both writes produce the same record — the manager sees no difference between a counter sent from the bar and one sent from the page.</t>
  </si>
  <si>
    <t>BN-08</t>
  </si>
  <si>
    <t>Budget — refusal message</t>
  </si>
  <si>
    <t>A refused write says why, where it happened</t>
  </si>
  <si>
    <t>Any state where the engine refuses the accept.</t>
  </si>
  <si>
    <t xml:space="preserve">1. Trigger the refusal from the bar.
2. Trigger the same refusal from the task page.</t>
  </si>
  <si>
    <t>The engine's own sentence is shown once, beside the control that caused it — on the row for Approve, in the panel for Send. The same sentence appears on the task page.</t>
  </si>
  <si>
    <t>Deadline — test cases</t>
  </si>
  <si>
    <t>Where the date comes from, asking for more time, and the deadline's block on the clock  ·  11 cases</t>
  </si>
  <si>
    <t>DL-01</t>
  </si>
  <si>
    <t>Deadline — derived vs set</t>
  </si>
  <si>
    <t>Where the date comes from</t>
  </si>
  <si>
    <t>One budget task (FX-01) and one fixed-date task (FX-06).</t>
  </si>
  <si>
    <t xml:space="preserve">1. Open each task's deadline surface.
2. Read what each says about where the date came from.</t>
  </si>
  <si>
    <t>The budget task's date is derived from the agreed window and the queue and is not typed by anybody. The fixed-date task's is the instant the assigning side set. Neither is described as the other.</t>
  </si>
  <si>
    <t>DL-02</t>
  </si>
  <si>
    <t>Deadline — proposal</t>
  </si>
  <si>
    <t>A proposed date waits on the creator</t>
  </si>
  <si>
    <t>A task where the assignee may propose a date (deadline state unset, status assigned).</t>
  </si>
  <si>
    <t xml:space="preserve">1. As the assignee, propose a date.
2. Read the action on both sides.
3. As the creator, decide it.</t>
  </si>
  <si>
    <t>The assignee's action becomes "Awaiting decision"; the creator's becomes "Decide deadline" pointing at the deadline page. The decision settles it.</t>
  </si>
  <si>
    <t>DL-03</t>
  </si>
  <si>
    <t>Deadline — counter</t>
  </si>
  <si>
    <t>A countered date waits on the assignee</t>
  </si>
  <si>
    <t>A proposal the creator has countered.</t>
  </si>
  <si>
    <t xml:space="preserve">1. As the creator, counter the proposed date.
2. Read both sides' actions.
3. Respond as the assignee.</t>
  </si>
  <si>
    <t>The assignee is offered "Respond to counter"; the creator sees "Awaiting response". Responding settles or continues the loop.</t>
  </si>
  <si>
    <t>DL-04</t>
  </si>
  <si>
    <t>Deadline — more time, step 1</t>
  </si>
  <si>
    <t>The assignee asks their MANAGER for hours</t>
  </si>
  <si>
    <t>An in-progress task where the assignee needs longer.</t>
  </si>
  <si>
    <t xml:space="preserve">1. As the assignee, use Request more time (from the bar's clock or the deadline page).
2. Enter the extra hours and a reason and send.
3. Read who the request went to.</t>
  </si>
  <si>
    <t>The request goes to the assignee's primary manager as a request for HOURS — measured in working seconds — not to the assignor as a request to move the date.</t>
  </si>
  <si>
    <t>DL-05</t>
  </si>
  <si>
    <t>Deadline — more time, step 2</t>
  </si>
  <si>
    <t>The manager grants hours if they fit</t>
  </si>
  <si>
    <t>A pending hours request whose extra time fits inside the committed date.</t>
  </si>
  <si>
    <t xml:space="preserve">1. Sign in as the manager and open the request.
2. Read what the product says about whether it fits.
3. Grant it.
4. Check the task's deadline.</t>
  </si>
  <si>
    <t>The manager is told the hours fit and may simply grant them. The budget increases and the committed DATE does not move — the assignor is not consulted for a change that never needed them.</t>
  </si>
  <si>
    <t>DL-06</t>
  </si>
  <si>
    <t>Deadline — more time, step 3</t>
  </si>
  <si>
    <t>The manager escalates when it does not fit</t>
  </si>
  <si>
    <t>A pending hours request whose extra time cannot fit before the committed date.</t>
  </si>
  <si>
    <t xml:space="preserve">1. Sign in as the manager and open the request.
2. Read the product's assessment.
3. Escalate the date to the assignor.
4. Sign in as the assignor and read what they were asked.</t>
  </si>
  <si>
    <t>The manager is told the hours do not fit and must ask the assignor to move the date. The escalation carries the earliest date the employee can actually achieve — the assignee never guesses a date, and the manager never moves a commitment they did not make.</t>
  </si>
  <si>
    <t>DL-07</t>
  </si>
  <si>
    <t>Deadline — confirmation</t>
  </si>
  <si>
    <t>An approved extension comes back for confirmation</t>
  </si>
  <si>
    <t>An approved time-budget extension.</t>
  </si>
  <si>
    <t xml:space="preserve">1. As the assignee, read the task after the approval.
2. Confirm the extension.
3. Read the budget and the timeline.</t>
  </si>
  <si>
    <t>The approved extension is confirmed by the assignee and the new figure is what the task then runs on. The extension timeline records the request, the decision and the confirmation as separate events.</t>
  </si>
  <si>
    <t>DL-08</t>
  </si>
  <si>
    <t>Deadline — timer block</t>
  </si>
  <si>
    <t>Past the deadline the clock stops</t>
  </si>
  <si>
    <t>A task whose deadline has passed with time still banked.</t>
  </si>
  <si>
    <t xml:space="preserve">1. Open the task and the bar.
2. Try to start the timer.
3. Read the message.
4. Check the banked figure.</t>
  </si>
  <si>
    <t>The timer will not run and both surfaces say why. The banked figure is unchanged — time already worked is never removed. If a session was running when the deadline passed, it stops.</t>
  </si>
  <si>
    <t>DL-09</t>
  </si>
  <si>
    <t>Deadline — what is NOT blocked</t>
  </si>
  <si>
    <t>Everything else still works past the deadline</t>
  </si>
  <si>
    <t>The same overdue task.</t>
  </si>
  <si>
    <t xml:space="preserve">1. Submit the work.
2. Post in the task chat.
3. Request more time.</t>
  </si>
  <si>
    <t>All three still work. Only the timer is gated — blocking submission would trap somebody who had finished the work.</t>
  </si>
  <si>
    <t>DL-10</t>
  </si>
  <si>
    <t>Deadline — unblock</t>
  </si>
  <si>
    <t>An approved extension unblocks without a second write</t>
  </si>
  <si>
    <t>The overdue, blocked task with an extension approved and confirmed.</t>
  </si>
  <si>
    <t xml:space="preserve">1. Approve and confirm an extension that moves the due date into the future.
2. Return to the task WITHOUT any other action.
3. Start the timer.</t>
  </si>
  <si>
    <t>The block clears on the next render because the answer is recomputed from the current deadline. There is no stuck "blocked" flag needing a separate clear.</t>
  </si>
  <si>
    <t>DL-11</t>
  </si>
  <si>
    <t>Deadline — extension records</t>
  </si>
  <si>
    <t>Requests and decisions are listed</t>
  </si>
  <si>
    <t>A task with at least one budget extension and one deadline extension.</t>
  </si>
  <si>
    <t xml:space="preserve">1. Open the extension timeline.
2. Compare the two kinds of record.</t>
  </si>
  <si>
    <t>Hours requests and date changes are recorded as separate things with separate approvers — never merged into one "extension" entry.</t>
  </si>
  <si>
    <t>Timer — test cases</t>
  </si>
  <si>
    <t>Real elapsed time, one timer at a time, presence and the three surfaces agreeing  ·  12 cases</t>
  </si>
  <si>
    <t>TM-01</t>
  </si>
  <si>
    <t>Timer — start</t>
  </si>
  <si>
    <t>Starting records a real session</t>
  </si>
  <si>
    <t>A confirmed task assigned to the viewer.</t>
  </si>
  <si>
    <t xml:space="preserve">1. Press start on the task page.
2. Watch the clock for 60 seconds against a stopwatch.
3. Pause.
4. Open the work log.</t>
  </si>
  <si>
    <t>The clock counts real seconds — 60 seconds of work reads about 1:00, not more. The committed session matches the elapsed time; it is never rounded up to a whole minute.</t>
  </si>
  <si>
    <t>TM-02</t>
  </si>
  <si>
    <t>Timer — short session</t>
  </si>
  <si>
    <t>Ten seconds commits as ten seconds</t>
  </si>
  <si>
    <t>A confirmed task.</t>
  </si>
  <si>
    <t xml:space="preserve">1. Start, wait 10 seconds, pause.
2. Read the total.
3. Repeat twice more.</t>
  </si>
  <si>
    <t>Each 10-second session adds about 10 seconds. Three of them total roughly 30 seconds — NOT 3:00. A commit is never floored to 60 seconds.</t>
  </si>
  <si>
    <t>TM-03</t>
  </si>
  <si>
    <t>Timer — reload</t>
  </si>
  <si>
    <t>Elapsed survives a reload</t>
  </si>
  <si>
    <t>A running timer.</t>
  </si>
  <si>
    <t xml:space="preserve">1. Note the clock.
2. Reload the page.
3. Compare.
4. Close the tab, reopen the app, compare again.</t>
  </si>
  <si>
    <t>The figure continues from where it was. It does not reset to zero and does not jump.</t>
  </si>
  <si>
    <t>TM-04</t>
  </si>
  <si>
    <t>Timer — background</t>
  </si>
  <si>
    <t>A throttled tab does not lose time</t>
  </si>
  <si>
    <t xml:space="preserve">1. Switch to another application for five minutes.
2. Return and read the clock.
3. Pause and check the committed session.</t>
  </si>
  <si>
    <t>The clock has advanced by the full five minutes — elapsed is derived from timestamps, so a throttled or sleeping tab catches up rather than losing the time.</t>
  </si>
  <si>
    <t>TM-05</t>
  </si>
  <si>
    <t>Timer — one at a time</t>
  </si>
  <si>
    <t>Starting a second task pauses the first</t>
  </si>
  <si>
    <t>Two tasks assigned to the viewer, both startable.</t>
  </si>
  <si>
    <t xml:space="preserve">1. Start task A and let it run.
2. Start task B.
3. Read both clocks and both work logs.</t>
  </si>
  <si>
    <t>A is paused and its session committed; B runs. Two timers are never running at once, and no time is lost or double-counted in the handover.</t>
  </si>
  <si>
    <t>TM-06</t>
  </si>
  <si>
    <t>Timer — surfaces agree</t>
  </si>
  <si>
    <t>Bar, task page and top-bar pill show one figure</t>
  </si>
  <si>
    <t xml:space="preserve">1. Read the figure on the home bar, the task page and the top-bar pill at the same moment.
2. Reload and read all three again.</t>
  </si>
  <si>
    <t>All three agree, before and after a reload. A run in progress never vanishes on one surface while showing on another.</t>
  </si>
  <si>
    <t>TM-07</t>
  </si>
  <si>
    <t>Timer — resume</t>
  </si>
  <si>
    <t>Resuming continues from the banked total</t>
  </si>
  <si>
    <t>A task with time banked and the timer paused.</t>
  </si>
  <si>
    <t xml:space="preserve">1. Note the banked figure.
2. Resume.
3. Watch the first few seconds closely.</t>
  </si>
  <si>
    <t>The clock continues from the banked total. It does not flash the previous run's minutes and then drop them, and it does not restart at zero.</t>
  </si>
  <si>
    <t>TM-08</t>
  </si>
  <si>
    <t>Timer — presence gate</t>
  </si>
  <si>
    <t>You cannot start a clock while away</t>
  </si>
  <si>
    <t>The viewer on a break / away.</t>
  </si>
  <si>
    <t xml:space="preserve">1. Try to start a timer from the task page.
2. Try from the home bar.
3. Read the refusal.
4. Now try to PAUSE a session that was already running.</t>
  </si>
  <si>
    <t>Both surfaces refuse the start with the same sentence, and the refusal comes from the server — not merely a hidden button. Pausing is always allowed, so nobody is stranded with a running clock.</t>
  </si>
  <si>
    <t>TM-09</t>
  </si>
  <si>
    <t>Timer — blocked display</t>
  </si>
  <si>
    <t>A blocked clock keeps its figure</t>
  </si>
  <si>
    <t>A task past its deadline with time banked.</t>
  </si>
  <si>
    <t xml:space="preserve">1. Open the home bar and the task page.
2. Read the clock on each.</t>
  </si>
  <si>
    <t>Both keep showing the banked figure, in amber. Neither replaces the clock with a bare "Blocked" pill.</t>
  </si>
  <si>
    <t>TM-10</t>
  </si>
  <si>
    <t>Timer — not yours</t>
  </si>
  <si>
    <t>Somebody else's task shows a clock you cannot run</t>
  </si>
  <si>
    <t>A task assigned to another person.</t>
  </si>
  <si>
    <t>1. Open it and look at the timer area.</t>
  </si>
  <si>
    <t>The clock is rendered as plain text, not a control, and pressing it does nothing. It occupies the same space as an interactive one so the row does not change shape.</t>
  </si>
  <si>
    <t>TM-11</t>
  </si>
  <si>
    <t>Timer — work commits</t>
  </si>
  <si>
    <t>Sessions are listed against the task</t>
  </si>
  <si>
    <t>A task with several sessions.</t>
  </si>
  <si>
    <t xml:space="preserve">1. Open the task's work log / day commits.
2. Compare with the day's total.</t>
  </si>
  <si>
    <t>Each session is listed with its start, end and duration, and the sum matches the task's logged total.</t>
  </si>
  <si>
    <t>TM-12</t>
  </si>
  <si>
    <t>Timer — slow network</t>
  </si>
  <si>
    <t>A slow start still reports honestly</t>
  </si>
  <si>
    <t>Network throttled to Slow 3G.</t>
  </si>
  <si>
    <t xml:space="preserve">1. Press start and wait.
2. Read what the button and the clock do.
3. Let it settle and reload.</t>
  </si>
  <si>
    <t>Either the timer starts, or a clear refusal is shown. The screen never shows a running clock that the server did not record — the state after a reload is the truth.</t>
  </si>
  <si>
    <t>Submission — test cases</t>
  </si>
  <si>
    <t>Handing work in, the review chain, rework and its deadline, approval  ·  17 cases</t>
  </si>
  <si>
    <t>SB-01</t>
  </si>
  <si>
    <t>Submit — the route</t>
  </si>
  <si>
    <t>Submitting is offered where work is in progress</t>
  </si>
  <si>
    <t>An in-progress task assigned to the viewer.</t>
  </si>
  <si>
    <t xml:space="preserve">1. Read the action on the task page and on the home bar.
2. Follow it.</t>
  </si>
  <si>
    <t>Both say the work is ready to submit and lead to the submission surface for that task.</t>
  </si>
  <si>
    <t>SB-02</t>
  </si>
  <si>
    <t>Submit — note and files</t>
  </si>
  <si>
    <t>A submission carries what was done</t>
  </si>
  <si>
    <t>An in-progress task.</t>
  </si>
  <si>
    <t xml:space="preserve">1. Submit with a note and two attachments.
2. Open the task as the reviewer.</t>
  </si>
  <si>
    <t>The note and both files are attached to the submission and visible to the reviewer, with who submitted and when.</t>
  </si>
  <si>
    <t>SB-03</t>
  </si>
  <si>
    <t>Submit — note required rule</t>
  </si>
  <si>
    <t>The note rule is enforced when set</t>
  </si>
  <si>
    <t>As ADMIN, set the submission-note rule to Required in the settings console.</t>
  </si>
  <si>
    <t xml:space="preserve">1. Submit with an empty note.
2. Read the refusal.
3. Add a note and submit.
4. Set the rule back to Optional and submit another task with no note.</t>
  </si>
  <si>
    <t>With the rule Required an empty note is refused; with it Optional the submission goes through. The default is Optional — an unsaved settings document changes nothing.</t>
  </si>
  <si>
    <t>SB-04</t>
  </si>
  <si>
    <t>Submit — requirements rule</t>
  </si>
  <si>
    <t>Outstanding criteria behave as configured</t>
  </si>
  <si>
    <t>A task with unsatisfied requirements. Test at each setting of the requirements rule.</t>
  </si>
  <si>
    <t xml:space="preserve">1. With the rule Off (the default), submit — note what happens.
2. Set it to Warn and submit again.
3. Set it to Block and submit again.
4. Satisfy the requirements and submit.</t>
  </si>
  <si>
    <t>Off: the submission goes through and criteria are reference for the reviewer only. Warn: it goes through and names what is unfinished. Block: it is refused while anything is outstanding. A task with no criteria is unaffected at every setting.</t>
  </si>
  <si>
    <t>SB-05</t>
  </si>
  <si>
    <t>Submit — timer rule</t>
  </si>
  <si>
    <t>Effort can be made a precondition</t>
  </si>
  <si>
    <t>A task with no logged time. Set the timer-before-submit rule to Require.</t>
  </si>
  <si>
    <t xml:space="preserve">1. Submit with no time logged.
2. Log some time and submit.
3. Set the rule back to Allow and submit a task with no time.</t>
  </si>
  <si>
    <t>With Require, a submission with no recorded effort is refused. With Allow (the default) it goes through.</t>
  </si>
  <si>
    <t>SB-06</t>
  </si>
  <si>
    <t>Submit — project completion</t>
  </si>
  <si>
    <t>A project cannot close over unfinished work</t>
  </si>
  <si>
    <t>A parent task whose subtasks claim its requirements, with one subtask still open.</t>
  </si>
  <si>
    <t xml:space="preserve">1. Try to submit the parent.
2. Read the progress figure on the parent.
3. Complete the subtask and read it again.
4. Reopen the subtask.</t>
  </si>
  <si>
    <t>The submission is refused while a claiming subtask is open, and the progress figure on screen matches the server's answer exactly. Completing the subtask satisfies the requirement; reopening it un-satisfies it again with no separate action.</t>
  </si>
  <si>
    <t>SB-07</t>
  </si>
  <si>
    <t>Submit — delegated requirement</t>
  </si>
  <si>
    <t>A delegated tick belongs to the subtask</t>
  </si>
  <si>
    <t>A parent requirement claimed by a live subtask.</t>
  </si>
  <si>
    <t xml:space="preserve">1. As the parent's owner, try to tick that requirement directly.
2. Read what the screen says.</t>
  </si>
  <si>
    <t>The parent's owner can see the state but cannot assert it — the authority moved to the subtask that claimed it.</t>
  </si>
  <si>
    <t>SB-08</t>
  </si>
  <si>
    <t>Review — the chain</t>
  </si>
  <si>
    <t>The assigner reviews, alone</t>
  </si>
  <si>
    <t>A submitted task (MGR-DES assigned it, EMP-DES-1 submitted).</t>
  </si>
  <si>
    <t xml:space="preserve">1. Sign in as MGR-DES and open the task.
2. Read the action.
3. Sign in as HOD-DES and check whether they are asked.
4. Sign in as the submitter and check.</t>
  </si>
  <si>
    <t>MGR-DES — the assigner — is offered "Review submission", and their approval is final. Nobody above them is asked. The submitter is not offered a review of their own work; they see "Awaiting review".</t>
  </si>
  <si>
    <t>SB-09</t>
  </si>
  <si>
    <t>Review — cross-department</t>
  </si>
  <si>
    <t>The assigner reviews across a boundary too</t>
  </si>
  <si>
    <t>The FX-06 task submitted by EMP-ENG-1.</t>
  </si>
  <si>
    <t xml:space="preserve">1. Sign in as MGR-DES (the assigner, in another department) and read the action.
2. Check whether MGR-ENG or either head is asked to review.</t>
  </si>
  <si>
    <t>MGR-DES reviews it. Neither department head is in the chain — the review follows who assigned the work, not the departments it crossed.</t>
  </si>
  <si>
    <t>SB-10</t>
  </si>
  <si>
    <t>Review — approve</t>
  </si>
  <si>
    <t>Approval completes the task</t>
  </si>
  <si>
    <t>A submission awaiting review.</t>
  </si>
  <si>
    <t xml:space="preserve">1. Approve it.
2. Read the task's status.
3. Read it in the task list.
4. Check the assignee's score ledger.</t>
  </si>
  <si>
    <t>The task becomes Completed. In the list it drops below all live work and its priority column shows a dash. The scoring entry for the completion is written once.</t>
  </si>
  <si>
    <t>SB-11</t>
  </si>
  <si>
    <t>Review — rework</t>
  </si>
  <si>
    <t>Rework returns the work with time to fix it</t>
  </si>
  <si>
    <t>A submission awaiting review. Record the task's deadline and the exact submission time first.</t>
  </si>
  <si>
    <t xml:space="preserve">1. Note the deadline and the submitted-at time; compute deadline − submittedAt.
2. Send it back for rework with a note (and any required items).
3. Note the moment you sent it back.
4. Read the new deadline as the assignee.</t>
  </si>
  <si>
    <t>The task returns to In progress for the assignee, and the new deadline is the moment it was sent back PLUS the leftover time they had when they handed it in. Submitting an hour early gives an hour to redo it; a minute early gives a minute.</t>
  </si>
  <si>
    <t>SB-12</t>
  </si>
  <si>
    <t>Review — rework counter</t>
  </si>
  <si>
    <t>Rework is not scored as a rejection</t>
  </si>
  <si>
    <t>A task sent back for rework.</t>
  </si>
  <si>
    <t xml:space="preserve">1. Send it back for rework.
2. Check the assignee's rework counter and their score.
3. Compare with a task that was REJECTED.</t>
  </si>
  <si>
    <t>Rework increments the rework counter and takes the rework deduction. It is not recorded as a rejection — the two are different decisions with different effects.</t>
  </si>
  <si>
    <t>SB-13</t>
  </si>
  <si>
    <t>Review — rework contents</t>
  </si>
  <si>
    <t>The rework note reaches the assignee</t>
  </si>
  <si>
    <t>A rework decision with a note, named requirements and an attachment.</t>
  </si>
  <si>
    <t xml:space="preserve">1. Send it back with all three.
2. Open the task as the assignee.</t>
  </si>
  <si>
    <t>The note, the named requirements and the attachment are all visible to the assignee on the returned task.</t>
  </si>
  <si>
    <t>SB-14</t>
  </si>
  <si>
    <t>Review — resubmit</t>
  </si>
  <si>
    <t>Rework can be resubmitted</t>
  </si>
  <si>
    <t>A task returned for rework.</t>
  </si>
  <si>
    <t xml:space="preserve">1. Work on it and submit again.
2. Read the reviewer's view.
3. Approve.</t>
  </si>
  <si>
    <t>The resubmission reaches the same reviewer, carries its own note and files, and the earlier submission is still readable in the history. Approval completes the task.</t>
  </si>
  <si>
    <t>SB-15</t>
  </si>
  <si>
    <t>Review — reject</t>
  </si>
  <si>
    <t>A rejection closes against the submission</t>
  </si>
  <si>
    <t xml:space="preserve">1. Reject it with a reason.
2. Read the task as the assignee.
3. Check whether it can be resubmitted (this follows the after-rejection rule).</t>
  </si>
  <si>
    <t>The rejection is recorded with its reason. Whether the work can be resubmitted or must be reopened follows the configured rule — Allow resubmit is the default.</t>
  </si>
  <si>
    <t>SB-16</t>
  </si>
  <si>
    <t>Review — wrong reviewer</t>
  </si>
  <si>
    <t>Nobody else can decide a submission</t>
  </si>
  <si>
    <t>A submission awaiting MGR-DES.</t>
  </si>
  <si>
    <t xml:space="preserve">1. Sign in as an unrelated manager and open the task.
2. Look for review controls.
3. Attempt the write directly if reachable.</t>
  </si>
  <si>
    <t>No controls are offered and a direct attempt is refused. The reviewer is resolved forward from the flow stamped at submission — not from who happens to have reviewed already, so the chain is never empty.</t>
  </si>
  <si>
    <t>SB-17</t>
  </si>
  <si>
    <t>Review — history</t>
  </si>
  <si>
    <t>The submission history is complete</t>
  </si>
  <si>
    <t>A task with a submission, a rework and a resubmission.</t>
  </si>
  <si>
    <t>1. Open the task's history.</t>
  </si>
  <si>
    <t>Every submission, review, rework request and resubmission appears in order with its author, time and text.</t>
  </si>
  <si>
    <t>E2E same-dept — scripted run</t>
  </si>
  <si>
    <t>Run in order, top to bottom. MGR-DES → EMP-DES-1 (FX-01), creation through completion  ·  11 steps</t>
  </si>
  <si>
    <t>SD-01</t>
  </si>
  <si>
    <t>Step 1 · Create</t>
  </si>
  <si>
    <t>MGR-DES raises work for EMP-DES-1</t>
  </si>
  <si>
    <t>Signed in as MGR-DES. Fixture FX-01.</t>
  </si>
  <si>
    <t xml:space="preserve">1. /tasks/new → title "SD E2E — same department", a description, two requirements, one attachment.
2. Assignee: EMP-DES-1.
3. Read the relationship forecast.
4. Set the budget to 2h 00m and create.</t>
  </si>
  <si>
    <t>The forecast is the in_line wording and the form offers a BUDGET. The task is created with no approval gate and lands with EMP-DES-1 immediately.</t>
  </si>
  <si>
    <t>SD-02</t>
  </si>
  <si>
    <t>Step 2 · Assignee sees it</t>
  </si>
  <si>
    <t>The work reaches the right lists</t>
  </si>
  <si>
    <t xml:space="preserve">1. Open /home and read the bar.
2. Open /tasks under My tasks.
3. Sign back in as MGR-DES and look under My team.</t>
  </si>
  <si>
    <t>The task is on the bar and in EMP-DES-1's My tasks. In MGR-DES's My team it sits under EMP-DES-1's heading. It does NOT appear under MGR-DES's own name anywhere.</t>
  </si>
  <si>
    <t>SD-03</t>
  </si>
  <si>
    <t>Step 3 · Counter the window</t>
  </si>
  <si>
    <t>The assignee asks for longer</t>
  </si>
  <si>
    <t>As EMP-DES-1, on the bar.</t>
  </si>
  <si>
    <t xml:space="preserve">1. Change the stepper to 3h 00m.
2. Read the button label.
3. Press it, write a reason, send.
4. Read the task's state on both surfaces.</t>
  </si>
  <si>
    <t>The label becomes "Send for approval", the reason panel opens off the row, and the counter is recorded. The task waits on the person who decides EMP-DES-1's hours — here MGR-DES, who is both manager and assignor.</t>
  </si>
  <si>
    <t>SD-04</t>
  </si>
  <si>
    <t>Step 4 · Settle the budget</t>
  </si>
  <si>
    <t>The manager agrees the figure</t>
  </si>
  <si>
    <t>Signed in as MGR-DES.</t>
  </si>
  <si>
    <t xml:space="preserve">1. Open the task and read the offered decision.
2. Accept 3h 00m.
3. Read the deadline that appears.</t>
  </si>
  <si>
    <t>The budget settles at 3h 00m and a deadline is derived from the window and the queue. Neither party typed a date.</t>
  </si>
  <si>
    <t>SD-05</t>
  </si>
  <si>
    <t>Step 5 · Take it on</t>
  </si>
  <si>
    <t>The assignee accepts and starts</t>
  </si>
  <si>
    <t xml:space="preserve">1. Accept / confirm as offered on the bar.
2. Read the deadline block on the bar.
3. Press start.</t>
  </si>
  <si>
    <t>Acceptance takes one press, the deadline block shows date and time throughout, and the clock starts from 00:00:00.</t>
  </si>
  <si>
    <t>SD-06</t>
  </si>
  <si>
    <t>Step 6 · Work</t>
  </si>
  <si>
    <t>Time accrues honestly</t>
  </si>
  <si>
    <t>Timer running.</t>
  </si>
  <si>
    <t xml:space="preserve">1. Work 2 minutes, pause, resume, work 1 more, pause.
2. Compare the total with a stopwatch.
3. Reload and compare again.
4. Read the same figure on the task page and the top-bar pill.</t>
  </si>
  <si>
    <t>The total is about 3 minutes on every surface, before and after a reload.</t>
  </si>
  <si>
    <t>SD-07</t>
  </si>
  <si>
    <t>Step 7 · Ask for more time</t>
  </si>
  <si>
    <t>The hours request goes to the manager</t>
  </si>
  <si>
    <t>As EMP-DES-1, timer paused.</t>
  </si>
  <si>
    <t xml:space="preserve">1. Hover the clock on the bar and press Request more time.
2. Ask for 1h 00m with a reason and send.
3. Sign in as MGR-DES and decide it.
4. Return as EMP-DES-1 and confirm.</t>
  </si>
  <si>
    <t>The request reaches MGR-DES as an HOURS decision, not a date change. Granting it raises the budget; the committed date only moves if the hours could not fit. The assignee confirms and the new figure is what the task runs on.</t>
  </si>
  <si>
    <t>SD-08</t>
  </si>
  <si>
    <t>Step 8 · Submit</t>
  </si>
  <si>
    <t>The work is handed in</t>
  </si>
  <si>
    <t>As EMP-DES-1.</t>
  </si>
  <si>
    <t xml:space="preserve">1. Note the deadline and the exact time now.
2. Submit with a note and one file.
3. Read the task status.</t>
  </si>
  <si>
    <t>Status becomes In review, the submission carries the note and file, and the assignee's action reads "Awaiting review".</t>
  </si>
  <si>
    <t>SD-09</t>
  </si>
  <si>
    <t>Step 9 · Rework</t>
  </si>
  <si>
    <t>It comes back with the leftover time</t>
  </si>
  <si>
    <t xml:space="preserve">1. Read the submission.
2. Send it back for rework with a note.
3. Note the moment you did.
4. Sign in as EMP-DES-1 and read the new deadline.</t>
  </si>
  <si>
    <t>The task returns to In progress and the new deadline is that moment plus the time that was left when it was submitted.</t>
  </si>
  <si>
    <t>SD-10</t>
  </si>
  <si>
    <t>Step 10 · Resubmit and approve</t>
  </si>
  <si>
    <t>The task closes</t>
  </si>
  <si>
    <t>As EMP-DES-1, then MGR-DES.</t>
  </si>
  <si>
    <t xml:space="preserve">1. Resubmit with a note.
2. As MGR-DES, approve.
3. Read the task, the list and the score ledger.</t>
  </si>
  <si>
    <t>The task is Completed. In the list it sits below all live work with a dash in the priority column. The score ledger records the completion and the earlier rework deduction once each.</t>
  </si>
  <si>
    <t>SD-11</t>
  </si>
  <si>
    <t>Step 11 · After</t>
  </si>
  <si>
    <t>Nothing is left claiming attention</t>
  </si>
  <si>
    <t>After completion.</t>
  </si>
  <si>
    <t xml:space="preserve">1. Read EMP-DES-1's bar on /home.
2. Read MGR-DES's My team.
3. Read the badges and counts.</t>
  </si>
  <si>
    <t>The completed task no longer occupies the bar (the next priority does, or the empty state shows). Badges and counts agree across the list, the board and the dashboard.</t>
  </si>
  <si>
    <t>E2E cross-dept — scripted run</t>
  </si>
  <si>
    <t>Run in order, top to bottom. MGR-DES → EMP-ENG-1 (FX-06), both gates through completion  ·  11 steps</t>
  </si>
  <si>
    <t>XD-01</t>
  </si>
  <si>
    <t>MGR-DES raises work for EMP-ENG-1</t>
  </si>
  <si>
    <t>Signed in as MGR-DES. Fixture FX-06.</t>
  </si>
  <si>
    <t xml:space="preserve">1. /tasks/new → title "XD E2E — cross department", description, two requirements.
2. Assignee: EMP-ENG-1 (filter the picker by department = Engineering).
3. Read the relationship forecast.
4. Set a fixed due date and time and create.</t>
  </si>
  <si>
    <t>The forecast is the cross-department wording, the form offers a fixed DATE and no budget, and the created task's status is Pending approval for a cross-department reason.</t>
  </si>
  <si>
    <t>XD-02</t>
  </si>
  <si>
    <t>Step 2 · The assignee is told, not given</t>
  </si>
  <si>
    <t>Work is coming, but is not theirs</t>
  </si>
  <si>
    <t>Signed in as EMP-ENG-1.</t>
  </si>
  <si>
    <t xml:space="preserve">1. Open Notifications.
2. Open /home and read the bar.
3. Open My tasks.
4. Open the task by URL and try to act on it.</t>
  </si>
  <si>
    <t>A notification says work is heading their way pending approval — not that it has been assigned. The task is not owned work in their lists, and the page offers no accept, confirm or start control.</t>
  </si>
  <si>
    <t>XD-03</t>
  </si>
  <si>
    <t>Step 3 · The sending head</t>
  </si>
  <si>
    <t>HOD-DES approves first</t>
  </si>
  <si>
    <t>Signed in as HOD-ENG first, then HOD-DES.</t>
  </si>
  <si>
    <t xml:space="preserve">1. As HOD-ENG, try to approve.
2. As HOD-DES, open the task and read the flow.
3. Approve.
4. Re-read the flow.</t>
  </si>
  <si>
    <t>HOD-ENG cannot clear their stage while the sending stage is outstanding. HOD-DES's stage is current, clears on approval, and doing so flips HOD-ENG's from waiting to pending.</t>
  </si>
  <si>
    <t>XD-04</t>
  </si>
  <si>
    <t>Step 4 · The receiving head</t>
  </si>
  <si>
    <t>HOD-ENG approves and the work lands</t>
  </si>
  <si>
    <t>Signed in as HOD-ENG.</t>
  </si>
  <si>
    <t xml:space="preserve">1. Read the notification and the flow.
2. Approve.
3. Sign in as EMP-ENG-1.</t>
  </si>
  <si>
    <t>After the second approval EMP-ENG-1 holds the task: it is in their My tasks, on their bar, and the action is Confirm receipt. The fixed date is unchanged from what MGR-DES set.</t>
  </si>
  <si>
    <t>XD-05</t>
  </si>
  <si>
    <t>Step 5 · No negotiation</t>
  </si>
  <si>
    <t>A date task offers no budget loop</t>
  </si>
  <si>
    <t>As EMP-ENG-1.</t>
  </si>
  <si>
    <t xml:space="preserve">1. Look for a budget stepper on the bar and the task page.
2. Confirm receipt.
3. Start work.</t>
  </si>
  <si>
    <t>There is no budget stepper and no counter control — the date was set by the assigning side. Confirm and Start behave identically on both surfaces.</t>
  </si>
  <si>
    <t>XD-06</t>
  </si>
  <si>
    <t>Step 6 · Work and overrun</t>
  </si>
  <si>
    <t>The clock stops at the deadline</t>
  </si>
  <si>
    <t>As EMP-ENG-1, with a deadline you can let pass (set a near one for the test).</t>
  </si>
  <si>
    <t xml:space="preserve">1. Log some time.
2. Let the deadline pass with the timer running.
3. Read the clock on both surfaces.
4. Try to restart it.
5. Try to submit, chat and request more time.</t>
  </si>
  <si>
    <t>The running session stops at the deadline, the clock stays visible in amber with the banked figure, and restarting is refused with the reason. Submitting, chatting and requesting more time all still work.</t>
  </si>
  <si>
    <t>XD-07</t>
  </si>
  <si>
    <t>Step 7 · Extension across the boundary</t>
  </si>
  <si>
    <t>Hours from the manager, date from the assignor</t>
  </si>
  <si>
    <t xml:space="preserve">1. Request more time with a reason.
2. Read who it went to.
3. As MGR-ENG, read whether the hours fit and escalate the date.
4. As MGR-DES, read what you were asked and decide.
5. As EMP-ENG-1, confirm.</t>
  </si>
  <si>
    <t>The hours request goes to MGR-ENG — the assignee's own manager, in their own department. Only the DATE escalates to MGR-DES, the assignor who made the commitment. Neither department head is involved. The timer unblocks once the new date is in force.</t>
  </si>
  <si>
    <t>XD-08</t>
  </si>
  <si>
    <t>The work is handed back across the boundary</t>
  </si>
  <si>
    <t xml:space="preserve">1. Submit with a note and a file.
2. Read the action as EMP-ENG-1, MGR-ENG, HOD-ENG, HOD-DES and MGR-DES in turn.</t>
  </si>
  <si>
    <t>Only MGR-DES — the assigner — is offered "Review submission". Everybody else sees a waiting state. The submission's files are readable across the department boundary by the reviewer.</t>
  </si>
  <si>
    <t>XD-09</t>
  </si>
  <si>
    <t>Step 9 · Approve</t>
  </si>
  <si>
    <t>The task closes for both departments</t>
  </si>
  <si>
    <t xml:space="preserve">1. Approve the submission.
2. Read the task as MGR-DES, HOD-ENG and EMP-ENG-1.
3. Check the score ledger.</t>
  </si>
  <si>
    <t>The task is Completed for everybody who can see it, with one completion entry on the ledger. No further approval is asked of anyone.</t>
  </si>
  <si>
    <t>XD-10</t>
  </si>
  <si>
    <t>Step 10 · The refusal path</t>
  </si>
  <si>
    <t>A rejected gate ends it cleanly</t>
  </si>
  <si>
    <t>Create a SECOND cross-department task (FX-06) and take it to the receiving head.</t>
  </si>
  <si>
    <t xml:space="preserve">1. As HOD-DES, approve.
2. As HOD-ENG, reject with a reason.
3. Read the task as MGR-DES, EMP-ENG-1 and HOD-DES.</t>
  </si>
  <si>
    <t>Status is Assignment rejected. The flow shows the refusing stage blocked, with the name and reason. EMP-ENG-1 never holds the work, no timer can run, and nothing downstream fires.</t>
  </si>
  <si>
    <t>XD-11</t>
  </si>
  <si>
    <t>Step 11 · Visibility</t>
  </si>
  <si>
    <t>Only the right people see it</t>
  </si>
  <si>
    <t>The completed cross-department task.</t>
  </si>
  <si>
    <t xml:space="preserve">1. As an unrelated employee in Design, search for it.
2. As an unrelated employee in Engineering, search for it.
3. As HOD-ENG, open it.
4. As ADMIN, open it.</t>
  </si>
  <si>
    <t>It is visible to the people involved and to those whose scope legitimately covers it, and not to unrelated colleagues. A department head can read work that crossed their own boundary.</t>
  </si>
  <si>
    <t>Bar parity — test cases</t>
  </si>
  <si>
    <t>The home page's active-work bar must behave exactly as the Tasks surfaces do  ·  12 cases</t>
  </si>
  <si>
    <t>PR-01</t>
  </si>
  <si>
    <t>Parity — the action label</t>
  </si>
  <si>
    <t>Both surfaces name the same next step</t>
  </si>
  <si>
    <t>One task in each state: pending approval, budget offered, assigned, confirmed, in progress, in review, completed.</t>
  </si>
  <si>
    <t xml:space="preserve">1. For each task, read the label on the home bar.
2. Read the label in the same task's row on /tasks and on the task page.
3. Record any pair that differs.</t>
  </si>
  <si>
    <t>The labels match everywhere — both surfaces read the same authority for what a task needs next. There is no state where the bar says one thing and the page another.</t>
  </si>
  <si>
    <t>PR-02</t>
  </si>
  <si>
    <t>Parity — actor</t>
  </si>
  <si>
    <t>Whose move it is agrees</t>
  </si>
  <si>
    <t>Tasks where the move is the viewer's and tasks where it is somebody else's.</t>
  </si>
  <si>
    <t xml:space="preserve">1. On each, check whether the bar offers a control or states a waiting sentence.
2. Compare with the task page.</t>
  </si>
  <si>
    <t>Where the move is the viewer's, both offer a control. Where it is not, both state it — neither surface offers a button that promises a move the reader does not have.</t>
  </si>
  <si>
    <t>PR-03</t>
  </si>
  <si>
    <t>Parity — routes</t>
  </si>
  <si>
    <t>Following the action lands in the right place</t>
  </si>
  <si>
    <t>Tasks needing: a deadline decision, a review, a submission.</t>
  </si>
  <si>
    <t xml:space="preserve">1. Follow the action from the bar on each.
2. Note the URL.</t>
  </si>
  <si>
    <t>Deadline decisions land on the task's deadline page, reviews on its review page, submissions on its submission page — the same destinations the task page uses.</t>
  </si>
  <si>
    <t>PR-04</t>
  </si>
  <si>
    <t>Parity — writes</t>
  </si>
  <si>
    <t>The same write from either surface</t>
  </si>
  <si>
    <t>Two equivalent budget tasks.</t>
  </si>
  <si>
    <t xml:space="preserve">1. Accept the window from the bar on task A.
2. Accept it from the task page on task B.
3. Compare both tasks' records and histories.</t>
  </si>
  <si>
    <t>The two produce the same record. A reviewer or manager cannot tell from the data which surface was used.</t>
  </si>
  <si>
    <t>PR-05</t>
  </si>
  <si>
    <t>Parity — request more time</t>
  </si>
  <si>
    <t>The same negotiation from either surface</t>
  </si>
  <si>
    <t>Two equivalent in-progress tasks.</t>
  </si>
  <si>
    <t xml:space="preserve">1. Request more time from the bar's clock on task A.
2. Request it from the deadline page on task B.
3. Compare the two requests as the approving manager.</t>
  </si>
  <si>
    <t>Both arrive as the same kind of request, with the same figure and reason fields, routed to the same person. The bar's panel is not a different, weaker form.</t>
  </si>
  <si>
    <t>PR-06</t>
  </si>
  <si>
    <t>Parity — refusals</t>
  </si>
  <si>
    <t>The same refusal text on both</t>
  </si>
  <si>
    <t>Any refused action (presence, deadline block, engine validation).</t>
  </si>
  <si>
    <t xml:space="preserve">1. Trigger the refusal from the bar.
2. Trigger it from the task page.</t>
  </si>
  <si>
    <t>The wording is the same on both, and each appears beside the control that caused it.</t>
  </si>
  <si>
    <t>PR-07</t>
  </si>
  <si>
    <t>Parity — priority picker</t>
  </si>
  <si>
    <t>The bar's picker chooses which task is shown</t>
  </si>
  <si>
    <t>At least three tasks assigned to the viewer at P1, P2, P3.</t>
  </si>
  <si>
    <t xml:space="preserve">1. Read which task the bar shows by default.
2. Use the picker to select P2, then P3.
3. Reload the page.
4. Open /tasks and read the queue order.</t>
  </si>
  <si>
    <t>The bar shows P1 by default. Selecting P2 or P3 shows that task — it is a view switch only: nothing is written, no queue moves, and the order on /tasks is unchanged after the switch and after a reload.</t>
  </si>
  <si>
    <t>PR-08</t>
  </si>
  <si>
    <t>Parity — non-draggable rows</t>
  </si>
  <si>
    <t>Tasks with no queue slot behave the same on both</t>
  </si>
  <si>
    <t>A container row, a task with an unagreed budget, and one the assignee has not accepted.</t>
  </si>
  <si>
    <t xml:space="preserve">1. Read the priority tag on the bar's picker for each.
2. Read the priority column in the task list.</t>
  </si>
  <si>
    <t>Both show a dash for the same tasks — a task with no slot in the queue is described the same way wherever it appears.</t>
  </si>
  <si>
    <t>PR-09</t>
  </si>
  <si>
    <t>Parity — empty state</t>
  </si>
  <si>
    <t>Nothing assigned reads the same on both</t>
  </si>
  <si>
    <t>An account with nothing assigned.</t>
  </si>
  <si>
    <t xml:space="preserve">1. Open /home and read the bar.
2. Follow its link.
3. Open /tasks under My tasks.</t>
  </si>
  <si>
    <t>The bar keeps its shape and says "Nothing assigned to you" with a way through to the task list. The list itself shows its own empty state. Neither reads as a broken page.</t>
  </si>
  <si>
    <t>PR-10</t>
  </si>
  <si>
    <t>Parity — away</t>
  </si>
  <si>
    <t>A break is stated identically</t>
  </si>
  <si>
    <t>The viewer away / on a break with live work.</t>
  </si>
  <si>
    <t xml:space="preserve">1. Read the bar.
2. Read the task page and the task list row.
3. Read the dashboard needs-action counts.</t>
  </si>
  <si>
    <t>All of them show the away sentence rather than a move, and the task is excluded from needs-action counts on every surface.</t>
  </si>
  <si>
    <t>PR-11</t>
  </si>
  <si>
    <t>Parity — live update</t>
  </si>
  <si>
    <t>A change on one surface reaches the other</t>
  </si>
  <si>
    <t>Two windows: /home and the same task's page.</t>
  </si>
  <si>
    <t xml:space="preserve">1. Accept the budget on the task page.
2. Watch the bar in the other window (reload if the product does not push).
3. Start the timer on the bar and watch the task page.</t>
  </si>
  <si>
    <t>Each surface reflects the other's change — after a push or, at worst, after a reload. Neither holds a stale state that contradicts the other.</t>
  </si>
  <si>
    <t>PR-12</t>
  </si>
  <si>
    <t>Parity — completed work</t>
  </si>
  <si>
    <t>A finished task leaves the bar</t>
  </si>
  <si>
    <t>The viewer's P1 task, just approved.</t>
  </si>
  <si>
    <t xml:space="preserve">1. Complete the task.
2. Read the bar.
3. Read the list.</t>
  </si>
  <si>
    <t>The bar moves on to the next live priority (or shows the empty state); the completed task sits below live work in the list. Nothing done is presented as next.</t>
  </si>
  <si>
    <t>Visibility — test cases</t>
  </si>
  <si>
    <t>Who sees what, and who may act — scopes, gated work and permission boundaries  ·  10 cases</t>
  </si>
  <si>
    <t>VS-01</t>
  </si>
  <si>
    <t>Scope — My tasks</t>
  </si>
  <si>
    <t>My tasks is your own work</t>
  </si>
  <si>
    <t>EMP-DES-1 with assigned work; MGR-DES with their own work and reports' work.</t>
  </si>
  <si>
    <t xml:space="preserve">1. As each, open /tasks under My tasks.
2. Compare with what each holds.</t>
  </si>
  <si>
    <t>My tasks shows exactly the work the viewer is assigned — nobody else's, including for a manager.</t>
  </si>
  <si>
    <t>VS-02</t>
  </si>
  <si>
    <t>Scope — My team</t>
  </si>
  <si>
    <t>My team is your reports' work only</t>
  </si>
  <si>
    <t>MGR-DES, who holds tasks and manages EMP-DES-1, EMP-DES-2 and EMP-ENG-2.</t>
  </si>
  <si>
    <t xml:space="preserve">1. Open My team.
2. Look for MGR-DES's own tasks.
3. Check EMP-ENG-2 (a report in another department) is present.
4. Compare the count with the My team badge and the board.</t>
  </si>
  <si>
    <t>Only reports' work appears, grouped by person, including the report who sits in another department. The manager's own tasks are absent. List, badge and board agree.</t>
  </si>
  <si>
    <t>VS-03</t>
  </si>
  <si>
    <t>Scope — Everyone</t>
  </si>
  <si>
    <t>Organisation scope shows the third option</t>
  </si>
  <si>
    <t>An account with organisation scope, and one without.</t>
  </si>
  <si>
    <t>1. Read the scope options as each.</t>
  </si>
  <si>
    <t>Only the organisation-scope account is offered "Everyone". Nobody else sees it.</t>
  </si>
  <si>
    <t>VS-04</t>
  </si>
  <si>
    <t>Visibility — pending cross-department</t>
  </si>
  <si>
    <t>A gated task is not yet the assignee's</t>
  </si>
  <si>
    <t xml:space="preserve">1. As EMP-ENG-1, check every list and count.
2. As MGR-ENG, check whether it appears in their team view.</t>
  </si>
  <si>
    <t>It is not counted as EMP-ENG-1's work anywhere — not in My tasks, not on the bar, not in their manager's team totals — until both approvals clear.</t>
  </si>
  <si>
    <t>VS-05</t>
  </si>
  <si>
    <t>Visibility — after approval</t>
  </si>
  <si>
    <t>The assignee's manager can see it</t>
  </si>
  <si>
    <t>The FX-06 task after both approvals.</t>
  </si>
  <si>
    <t xml:space="preserve">1. As MGR-ENG, open My team.
2. As HOD-ENG, look for it.</t>
  </si>
  <si>
    <t>It appears under EMP-ENG-1 in MGR-ENG's team view, and the receiving head can read work that entered their department.</t>
  </si>
  <si>
    <t>VS-06</t>
  </si>
  <si>
    <t>Visibility — unrelated colleagues</t>
  </si>
  <si>
    <t>Work is not public</t>
  </si>
  <si>
    <t>Employees with no involvement in the task and no scope covering it.</t>
  </si>
  <si>
    <t xml:space="preserve">1. Search for the task.
2. Open it by direct URL.</t>
  </si>
  <si>
    <t>It is not listed, and a direct URL does not reveal it. Access is refused rather than partially rendered.</t>
  </si>
  <si>
    <t>VS-07</t>
  </si>
  <si>
    <t>Permissions — assignment reach</t>
  </si>
  <si>
    <t>The picker and the write agree</t>
  </si>
  <si>
    <t>Any creator.</t>
  </si>
  <si>
    <t xml:space="preserve">1. Note who the picker offers.
2. Attempt to create a task for somebody NOT offered, if the request can be issued directly.</t>
  </si>
  <si>
    <t>The write refuses anybody the picker would not offer. The reader never discovers a restriction only at submit time.</t>
  </si>
  <si>
    <t>VS-08</t>
  </si>
  <si>
    <t>Permissions — approvals</t>
  </si>
  <si>
    <t>Only named approvers decide</t>
  </si>
  <si>
    <t>A task pending approval.</t>
  </si>
  <si>
    <t>1. As each of: the creator, the assignee, an unrelated manager, and the named approver — look for the decision controls.</t>
  </si>
  <si>
    <t>Only the named approver is offered them, and only their write succeeds.</t>
  </si>
  <si>
    <t>VS-09</t>
  </si>
  <si>
    <t>Permissions — timer</t>
  </si>
  <si>
    <t>Only an assignee runs the clock</t>
  </si>
  <si>
    <t>A task assigned to EMP-DES-1.</t>
  </si>
  <si>
    <t xml:space="preserve">1. As MGR-DES, try to start the timer on it.
2. As an unrelated employee, try.</t>
  </si>
  <si>
    <t>Neither can start it. The clock renders as plain text for non-assignees.</t>
  </si>
  <si>
    <t>VS-10</t>
  </si>
  <si>
    <t>Permissions — review</t>
  </si>
  <si>
    <t>Only the resolved reviewer decides</t>
  </si>
  <si>
    <t>A submitted task.</t>
  </si>
  <si>
    <t xml:space="preserve">1. As the submitter, an unrelated manager and a department head — look for review controls.
2. As the assigner, look.</t>
  </si>
  <si>
    <t>Only the assigner has them. In particular the submitter cannot review their own submission.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</si>
</sst>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64" formatCode="dd mmm yyyy"/>
  </numFmts>
  <fonts count="7" x14ac:knownFonts="1">
    <font>
      <color theme="1"/>
      <family val="2"/>
      <scheme val="minor"/>
      <sz val="11"/>
      <name val="Calibri"/>
    </font>
    <font>
      <b/>
      <color rgb="FFFFFFFF"/>
      <sz val="14"/>
      <name val="Arial"/>
    </font>
    <font>
      <i/>
      <color rgb="FF5A6472"/>
      <sz val="9"/>
      <name val="Arial"/>
    </font>
    <font>
      <b/>
      <color rgb="FFFFFFFF"/>
      <sz val="11"/>
      <name val="Arial"/>
    </font>
    <font>
      <b/>
      <color rgb="FF1F2937"/>
      <sz val="10"/>
      <name val="Arial"/>
    </font>
    <font>
      <color rgb="FF1F2937"/>
      <sz val="10"/>
      <name val="Arial"/>
    </font>
    <font>
      <b/>
      <color rgb="FFFFFFFF"/>
      <sz val="10"/>
      <name val="Arial"/>
    </font>
  </fonts>
  <fills count="9">
    <fill>
      <patternFill patternType="none"/>
    </fill>
    <fill>
      <patternFill patternType="gray125"/>
    </fill>
    <fill>
      <patternFill patternType="solid">
        <fgColor rgb="FF1F3864"/>
      </patternFill>
    </fill>
    <fill>
      <patternFill patternType="solid">
        <fgColor rgb="FF2E5395"/>
      </patternFill>
    </fill>
    <fill>
      <patternFill patternType="solid">
        <fgColor rgb="FFFFF6CC"/>
      </patternFill>
    </fill>
    <fill>
      <patternFill patternType="solid">
        <fgColor rgb="FFF5F7FA"/>
      </patternFill>
    </fill>
    <fill>
      <patternFill patternType="solid">
        <fgColor rgb="FF8A5A00"/>
      </patternFill>
    </fill>
    <fill>
      <patternFill patternType="solid">
        <fgColor rgb="FFFFFDF0"/>
      </patternFill>
    </fill>
    <fill>
      <patternFill patternType="solid">
        <fgColor rgb="FF1E5B4F"/>
      </patternFill>
    </fill>
  </fills>
  <borders count="2">
    <border>
      <left/>
      <right/>
      <top/>
      <bottom/>
      <diagonal/>
    </border>
    <border>
      <left style="thin">
        <color rgb="FFD0D7E2"/>
      </left>
      <right style="thin">
        <color rgb="FFD0D7E2"/>
      </right>
      <top style="thin">
        <color rgb="FFD0D7E2"/>
      </top>
      <bottom style="thin">
        <color rgb="FFD0D7E2"/>
      </bottom>
      <diagonal/>
    </border>
  </borders>
  <cellStyleXfs count="1">
    <xf numFmtId="0" fontId="0" fillId="0" borderId="0"/>
  </cellStyleXfs>
  <cellXfs count="37">
    <xf numFmtId="0" fontId="0" fillId="0" borderId="0" xfId="0"/>
    <xf numFmtId="0" fontId="1" fillId="2" borderId="0" xfId="0" applyFont="1" applyFill="1" applyAlignment="1">
      <alignment horizontal="left" vertical="center" indent="1"/>
    </xf>
    <xf numFmtId="0" fontId="2" fillId="0" borderId="0" xfId="0" applyFont="1" applyAlignment="1">
      <alignment horizontal="left" vertical="center" indent="1"/>
    </xf>
    <xf numFmtId="0" fontId="3" fillId="3" borderId="0" xfId="0" applyFont="1" applyFill="1" applyAlignment="1">
      <alignment vertical="center" indent="1"/>
    </xf>
    <xf numFmtId="0" fontId="4" fillId="0" borderId="1" xfId="0" applyFont="1" applyBorder="1" applyAlignment="1">
      <alignment vertical="top" wrapText="1" indent="1"/>
    </xf>
    <xf numFmtId="0" fontId="5" fillId="0" borderId="1" xfId="0" applyFont="1" applyBorder="1" applyAlignment="1">
      <alignment vertical="top" wrapText="1" indent="1"/>
    </xf>
    <xf numFmtId="0" fontId="5" fillId="4" borderId="1" xfId="0" applyFont="1" applyFill="1" applyBorder="1" applyAlignment="1">
      <alignment vertical="top" wrapText="1" indent="1"/>
    </xf>
    <xf numFmtId="0" fontId="6" fillId="2" borderId="1" xfId="0" applyFont="1" applyFill="1" applyBorder="1" applyAlignment="1">
      <alignment horizontal="center" vertical="center" wrapText="1"/>
    </xf>
    <xf numFmtId="0" fontId="4" fillId="0" borderId="1" xfId="0" applyFont="1" applyBorder="1" applyAlignment="1">
      <alignment horizontal="left" vertical="center" wrapText="1" indent="1"/>
    </xf>
    <xf numFmtId="0" fontId="5" fillId="0" borderId="1" xfId="0" applyFont="1" applyBorder="1" applyAlignment="1">
      <alignment horizontal="center" vertical="center" wrapText="1" indent="1"/>
    </xf>
    <xf numFmtId="9" fontId="5" fillId="0" borderId="1" xfId="0" applyNumberFormat="1" applyFont="1" applyBorder="1" applyAlignment="1">
      <alignment horizontal="center" vertical="center" wrapText="1" indent="1"/>
    </xf>
    <xf numFmtId="0" fontId="5" fillId="0" borderId="1" xfId="0" applyFont="1" applyBorder="1" applyAlignment="1">
      <alignment horizontal="left" vertical="center" wrapText="1" indent="1"/>
    </xf>
    <xf numFmtId="0" fontId="4" fillId="5" borderId="1" xfId="0" applyFont="1" applyFill="1" applyBorder="1" applyAlignment="1">
      <alignment horizontal="left" vertical="center" wrapText="1" indent="1"/>
    </xf>
    <xf numFmtId="0" fontId="5" fillId="5" borderId="1" xfId="0" applyFont="1" applyFill="1" applyBorder="1" applyAlignment="1">
      <alignment horizontal="center" vertical="center" wrapText="1" indent="1"/>
    </xf>
    <xf numFmtId="9" fontId="5" fillId="5" borderId="1" xfId="0" applyNumberFormat="1" applyFont="1" applyFill="1" applyBorder="1" applyAlignment="1">
      <alignment horizontal="center" vertical="center" wrapText="1" indent="1"/>
    </xf>
    <xf numFmtId="0" fontId="5" fillId="5" borderId="1" xfId="0" applyFont="1" applyFill="1" applyBorder="1" applyAlignment="1">
      <alignment horizontal="left" vertical="center" wrapText="1" indent="1"/>
    </xf>
    <xf numFmtId="0" fontId="6" fillId="3" borderId="1" xfId="0" applyFont="1" applyFill="1" applyBorder="1" applyAlignment="1">
      <alignment horizontal="left" vertical="center" wrapText="1" indent="1"/>
    </xf>
    <xf numFmtId="0" fontId="6" fillId="3" borderId="1" xfId="0" applyFont="1" applyFill="1" applyBorder="1" applyAlignment="1">
      <alignment horizontal="center" vertical="center" wrapText="1" indent="1"/>
    </xf>
    <xf numFmtId="9" fontId="6" fillId="3" borderId="1" xfId="0" applyNumberFormat="1" applyFont="1" applyFill="1" applyBorder="1" applyAlignment="1">
      <alignment horizontal="center" vertical="center" wrapText="1" indent="1"/>
    </xf>
    <xf numFmtId="0" fontId="4" fillId="0" borderId="1" xfId="0" applyFont="1" applyBorder="1" applyAlignment="1">
      <alignment vertical="center" wrapText="1" indent="1"/>
    </xf>
    <xf numFmtId="0" fontId="5" fillId="4" borderId="1" xfId="0" applyFont="1" applyFill="1" applyBorder="1" applyAlignment="1">
      <alignment vertical="center" wrapText="1" indent="1"/>
    </xf>
    <xf numFmtId="0" fontId="5" fillId="0" borderId="1" xfId="0" applyFont="1" applyBorder="1" applyAlignment="1">
      <alignment vertical="center" wrapText="1" indent="1"/>
    </xf>
    <xf numFmtId="0" fontId="6" fillId="3" borderId="1" xfId="0" applyFont="1" applyFill="1" applyBorder="1" applyAlignment="1">
      <alignment horizontal="center" vertical="center" wrapText="1"/>
    </xf>
    <xf numFmtId="0" fontId="4" fillId="0" borderId="1" xfId="0" applyFont="1" applyBorder="1" applyAlignment="1">
      <alignment horizontal="center" vertical="top" wrapText="1"/>
    </xf>
    <xf numFmtId="0" fontId="5" fillId="0" borderId="1" xfId="0" applyFont="1" applyBorder="1" applyAlignment="1">
      <alignment horizontal="left" vertical="top" wrapText="1" indent="1"/>
    </xf>
    <xf numFmtId="0" fontId="5" fillId="4" borderId="1" xfId="0" applyFont="1" applyFill="1" applyBorder="1" applyAlignment="1">
      <alignment horizontal="left" vertical="top" wrapText="1" indent="1"/>
    </xf>
    <xf numFmtId="0" fontId="4" fillId="5" borderId="1" xfId="0" applyFont="1" applyFill="1" applyBorder="1" applyAlignment="1">
      <alignment horizontal="center" vertical="top" wrapText="1"/>
    </xf>
    <xf numFmtId="0" fontId="5" fillId="5" borderId="1" xfId="0" applyFont="1" applyFill="1" applyBorder="1" applyAlignment="1">
      <alignment horizontal="left" vertical="top" wrapText="1" indent="1"/>
    </xf>
    <xf numFmtId="0" fontId="3" fillId="6" borderId="0" xfId="0" applyFont="1" applyFill="1" applyAlignment="1">
      <alignment vertical="center" indent="1"/>
    </xf>
    <xf numFmtId="0" fontId="6" fillId="6" borderId="1" xfId="0" applyFont="1" applyFill="1" applyBorder="1" applyAlignment="1">
      <alignment horizontal="center" vertical="center" wrapText="1"/>
    </xf>
    <xf numFmtId="0" fontId="2" fillId="0" borderId="0" xfId="0" applyFont="1" applyAlignment="1">
      <alignment vertical="top" wrapText="1" indent="1"/>
    </xf>
    <xf numFmtId="0" fontId="5" fillId="0" borderId="1" xfId="0" applyFont="1" applyBorder="1" applyAlignment="1">
      <alignment horizontal="center" vertical="top" wrapText="1" indent="1"/>
    </xf>
    <xf numFmtId="0" fontId="5" fillId="7" borderId="1" xfId="0" applyFont="1" applyFill="1" applyBorder="1" applyAlignment="1">
      <alignment horizontal="left" vertical="top" wrapText="1" indent="1"/>
    </xf>
    <xf numFmtId="164" fontId="5" fillId="0" borderId="1" xfId="0" applyNumberFormat="1" applyFont="1" applyBorder="1" applyAlignment="1">
      <alignment horizontal="center" vertical="top" wrapText="1" indent="1"/>
    </xf>
    <xf numFmtId="0" fontId="5" fillId="5" borderId="1" xfId="0" applyFont="1" applyFill="1" applyBorder="1" applyAlignment="1">
      <alignment horizontal="center" vertical="top" wrapText="1" indent="1"/>
    </xf>
    <xf numFmtId="164" fontId="5" fillId="5" borderId="1" xfId="0" applyNumberFormat="1" applyFont="1" applyFill="1" applyBorder="1" applyAlignment="1">
      <alignment horizontal="center" vertical="top" wrapText="1" indent="1"/>
    </xf>
    <xf numFmtId="0" fontId="6" fillId="8" borderId="1" xfId="0" applyFont="1" applyFill="1" applyBorder="1" applyAlignment="1">
      <alignment horizontal="center" vertical="center" wrapText="1"/>
    </xf>
  </cellXfs>
  <cellStyles count="1">
    <cellStyle name="Normal" xfId="0" builtinId="0"/>
  </cellStyles>
  <dxfs count="68">
    <dxf>
      <font>
        <b/>
        <color rgb="FFA32020"/>
        <sz val="10"/>
        <name val="Arial"/>
      </font>
      <fill>
        <patternFill patternType="solid">
          <bgColor rgb="FFF8D2D2"/>
        </patternFill>
      </fill>
    </dxf>
    <dxf>
      <font>
        <b/>
        <color rgb="FF8A5A00"/>
        <sz val="10"/>
        <name val="Arial"/>
      </font>
      <fill>
        <patternFill patternType="solid">
          <bgColor rgb="FFFCE8C8"/>
        </patternFill>
      </fill>
    </dxf>
    <dxf>
      <font>
        <b/>
        <color rgb="FF1B5E20"/>
        <sz val="10"/>
        <name val="Arial"/>
      </font>
      <fill>
        <patternFill patternType="solid">
          <bgColor rgb="FFD8EFD8"/>
        </patternFill>
      </fill>
    </dxf>
    <dxf>
      <font>
        <b/>
        <color rgb="FFA32020"/>
        <sz val="10"/>
        <name val="Arial"/>
      </font>
      <fill>
        <patternFill patternType="solid">
          <bgColor rgb="FFF8D2D2"/>
        </patternFill>
      </fill>
    </dxf>
    <dxf>
      <font>
        <b/>
        <color rgb="FF8A5A00"/>
        <sz val="10"/>
        <name val="Arial"/>
      </font>
      <fill>
        <patternFill patternType="solid">
          <bgColor rgb="FFFCE8C8"/>
        </patternFill>
      </fill>
    </dxf>
    <dxf>
      <font>
        <color rgb="FF6B7280"/>
        <sz val="10"/>
        <name val="Arial"/>
      </font>
      <fill>
        <patternFill patternType="solid">
          <bgColor rgb="FFE8E8E8"/>
        </patternFill>
      </fill>
    </dxf>
    <dxf>
      <font>
        <color rgb="FF9AA3AF"/>
        <sz val="10"/>
        <name val="Arial"/>
      </font>
    </dxf>
    <dxf>
      <font>
        <b/>
        <color rgb="FFA32020"/>
        <sz val="10"/>
        <name val="Arial"/>
      </font>
    </dxf>
    <dxf>
      <font>
        <b/>
        <color rgb="FF1B5E20"/>
        <sz val="10"/>
        <name val="Arial"/>
      </font>
      <fill>
        <patternFill patternType="solid">
          <bgColor rgb="FFD8EFD8"/>
        </patternFill>
      </fill>
    </dxf>
    <dxf>
      <font>
        <b/>
        <color rgb="FFA32020"/>
        <sz val="10"/>
        <name val="Arial"/>
      </font>
      <fill>
        <patternFill patternType="solid">
          <bgColor rgb="FFF8D2D2"/>
        </patternFill>
      </fill>
    </dxf>
    <dxf>
      <font>
        <b/>
        <color rgb="FF8A5A00"/>
        <sz val="10"/>
        <name val="Arial"/>
      </font>
      <fill>
        <patternFill patternType="solid">
          <bgColor rgb="FFFCE8C8"/>
        </patternFill>
      </fill>
    </dxf>
    <dxf>
      <font>
        <color rgb="FF6B7280"/>
        <sz val="10"/>
        <name val="Arial"/>
      </font>
      <fill>
        <patternFill patternType="solid">
          <bgColor rgb="FFE8E8E8"/>
        </patternFill>
      </fill>
    </dxf>
    <dxf>
      <font>
        <color rgb="FF9AA3AF"/>
        <sz val="10"/>
        <name val="Arial"/>
      </font>
    </dxf>
    <dxf>
      <font>
        <b/>
        <color rgb="FFA32020"/>
        <sz val="10"/>
        <name val="Arial"/>
      </font>
    </dxf>
    <dxf>
      <font>
        <b/>
        <color rgb="FF1B5E20"/>
        <sz val="10"/>
        <name val="Arial"/>
      </font>
      <fill>
        <patternFill patternType="solid">
          <bgColor rgb="FFD8EFD8"/>
        </patternFill>
      </fill>
    </dxf>
    <dxf>
      <font>
        <b/>
        <color rgb="FFA32020"/>
        <sz val="10"/>
        <name val="Arial"/>
      </font>
      <fill>
        <patternFill patternType="solid">
          <bgColor rgb="FFF8D2D2"/>
        </patternFill>
      </fill>
    </dxf>
    <dxf>
      <font>
        <b/>
        <color rgb="FF8A5A00"/>
        <sz val="10"/>
        <name val="Arial"/>
      </font>
      <fill>
        <patternFill patternType="solid">
          <bgColor rgb="FFFCE8C8"/>
        </patternFill>
      </fill>
    </dxf>
    <dxf>
      <font>
        <color rgb="FF6B7280"/>
        <sz val="10"/>
        <name val="Arial"/>
      </font>
      <fill>
        <patternFill patternType="solid">
          <bgColor rgb="FFE8E8E8"/>
        </patternFill>
      </fill>
    </dxf>
    <dxf>
      <font>
        <color rgb="FF9AA3AF"/>
        <sz val="10"/>
        <name val="Arial"/>
      </font>
    </dxf>
    <dxf>
      <font>
        <b/>
        <color rgb="FFA32020"/>
        <sz val="10"/>
        <name val="Arial"/>
      </font>
    </dxf>
    <dxf>
      <font>
        <b/>
        <color rgb="FF1B5E20"/>
        <sz val="10"/>
        <name val="Arial"/>
      </font>
      <fill>
        <patternFill patternType="solid">
          <bgColor rgb="FFD8EFD8"/>
        </patternFill>
      </fill>
    </dxf>
    <dxf>
      <font>
        <b/>
        <color rgb="FFA32020"/>
        <sz val="10"/>
        <name val="Arial"/>
      </font>
      <fill>
        <patternFill patternType="solid">
          <bgColor rgb="FFF8D2D2"/>
        </patternFill>
      </fill>
    </dxf>
    <dxf>
      <font>
        <b/>
        <color rgb="FF8A5A00"/>
        <sz val="10"/>
        <name val="Arial"/>
      </font>
      <fill>
        <patternFill patternType="solid">
          <bgColor rgb="FFFCE8C8"/>
        </patternFill>
      </fill>
    </dxf>
    <dxf>
      <font>
        <color rgb="FF6B7280"/>
        <sz val="10"/>
        <name val="Arial"/>
      </font>
      <fill>
        <patternFill patternType="solid">
          <bgColor rgb="FFE8E8E8"/>
        </patternFill>
      </fill>
    </dxf>
    <dxf>
      <font>
        <color rgb="FF9AA3AF"/>
        <sz val="10"/>
        <name val="Arial"/>
      </font>
    </dxf>
    <dxf>
      <font>
        <b/>
        <color rgb="FFA32020"/>
        <sz val="10"/>
        <name val="Arial"/>
      </font>
    </dxf>
    <dxf>
      <font>
        <b/>
        <color rgb="FF1B5E20"/>
        <sz val="10"/>
        <name val="Arial"/>
      </font>
      <fill>
        <patternFill patternType="solid">
          <bgColor rgb="FFD8EFD8"/>
        </patternFill>
      </fill>
    </dxf>
    <dxf>
      <font>
        <b/>
        <color rgb="FFA32020"/>
        <sz val="10"/>
        <name val="Arial"/>
      </font>
      <fill>
        <patternFill patternType="solid">
          <bgColor rgb="FFF8D2D2"/>
        </patternFill>
      </fill>
    </dxf>
    <dxf>
      <font>
        <b/>
        <color rgb="FF8A5A00"/>
        <sz val="10"/>
        <name val="Arial"/>
      </font>
      <fill>
        <patternFill patternType="solid">
          <bgColor rgb="FFFCE8C8"/>
        </patternFill>
      </fill>
    </dxf>
    <dxf>
      <font>
        <color rgb="FF6B7280"/>
        <sz val="10"/>
        <name val="Arial"/>
      </font>
      <fill>
        <patternFill patternType="solid">
          <bgColor rgb="FFE8E8E8"/>
        </patternFill>
      </fill>
    </dxf>
    <dxf>
      <font>
        <color rgb="FF9AA3AF"/>
        <sz val="10"/>
        <name val="Arial"/>
      </font>
    </dxf>
    <dxf>
      <font>
        <b/>
        <color rgb="FFA32020"/>
        <sz val="10"/>
        <name val="Arial"/>
      </font>
    </dxf>
    <dxf>
      <font>
        <b/>
        <color rgb="FF1B5E20"/>
        <sz val="10"/>
        <name val="Arial"/>
      </font>
      <fill>
        <patternFill patternType="solid">
          <bgColor rgb="FFD8EFD8"/>
        </patternFill>
      </fill>
    </dxf>
    <dxf>
      <font>
        <b/>
        <color rgb="FFA32020"/>
        <sz val="10"/>
        <name val="Arial"/>
      </font>
      <fill>
        <patternFill patternType="solid">
          <bgColor rgb="FFF8D2D2"/>
        </patternFill>
      </fill>
    </dxf>
    <dxf>
      <font>
        <b/>
        <color rgb="FF8A5A00"/>
        <sz val="10"/>
        <name val="Arial"/>
      </font>
      <fill>
        <patternFill patternType="solid">
          <bgColor rgb="FFFCE8C8"/>
        </patternFill>
      </fill>
    </dxf>
    <dxf>
      <font>
        <color rgb="FF6B7280"/>
        <sz val="10"/>
        <name val="Arial"/>
      </font>
      <fill>
        <patternFill patternType="solid">
          <bgColor rgb="FFE8E8E8"/>
        </patternFill>
      </fill>
    </dxf>
    <dxf>
      <font>
        <color rgb="FF9AA3AF"/>
        <sz val="10"/>
        <name val="Arial"/>
      </font>
    </dxf>
    <dxf>
      <font>
        <b/>
        <color rgb="FFA32020"/>
        <sz val="10"/>
        <name val="Arial"/>
      </font>
    </dxf>
    <dxf>
      <font>
        <b/>
        <color rgb="FF1B5E20"/>
        <sz val="10"/>
        <name val="Arial"/>
      </font>
      <fill>
        <patternFill patternType="solid">
          <bgColor rgb="FFD8EFD8"/>
        </patternFill>
      </fill>
    </dxf>
    <dxf>
      <font>
        <b/>
        <color rgb="FFA32020"/>
        <sz val="10"/>
        <name val="Arial"/>
      </font>
      <fill>
        <patternFill patternType="solid">
          <bgColor rgb="FFF8D2D2"/>
        </patternFill>
      </fill>
    </dxf>
    <dxf>
      <font>
        <b/>
        <color rgb="FF8A5A00"/>
        <sz val="10"/>
        <name val="Arial"/>
      </font>
      <fill>
        <patternFill patternType="solid">
          <bgColor rgb="FFFCE8C8"/>
        </patternFill>
      </fill>
    </dxf>
    <dxf>
      <font>
        <color rgb="FF6B7280"/>
        <sz val="10"/>
        <name val="Arial"/>
      </font>
      <fill>
        <patternFill patternType="solid">
          <bgColor rgb="FFE8E8E8"/>
        </patternFill>
      </fill>
    </dxf>
    <dxf>
      <font>
        <color rgb="FF9AA3AF"/>
        <sz val="10"/>
        <name val="Arial"/>
      </font>
    </dxf>
    <dxf>
      <font>
        <b/>
        <color rgb="FFA32020"/>
        <sz val="10"/>
        <name val="Arial"/>
      </font>
    </dxf>
    <dxf>
      <font>
        <b/>
        <color rgb="FF1B5E20"/>
        <sz val="10"/>
        <name val="Arial"/>
      </font>
      <fill>
        <patternFill patternType="solid">
          <bgColor rgb="FFD8EFD8"/>
        </patternFill>
      </fill>
    </dxf>
    <dxf>
      <font>
        <b/>
        <color rgb="FFA32020"/>
        <sz val="10"/>
        <name val="Arial"/>
      </font>
      <fill>
        <patternFill patternType="solid">
          <bgColor rgb="FFF8D2D2"/>
        </patternFill>
      </fill>
    </dxf>
    <dxf>
      <font>
        <b/>
        <color rgb="FF8A5A00"/>
        <sz val="10"/>
        <name val="Arial"/>
      </font>
      <fill>
        <patternFill patternType="solid">
          <bgColor rgb="FFFCE8C8"/>
        </patternFill>
      </fill>
    </dxf>
    <dxf>
      <font>
        <color rgb="FF6B7280"/>
        <sz val="10"/>
        <name val="Arial"/>
      </font>
      <fill>
        <patternFill patternType="solid">
          <bgColor rgb="FFE8E8E8"/>
        </patternFill>
      </fill>
    </dxf>
    <dxf>
      <font>
        <color rgb="FF9AA3AF"/>
        <sz val="10"/>
        <name val="Arial"/>
      </font>
    </dxf>
    <dxf>
      <font>
        <b/>
        <color rgb="FFA32020"/>
        <sz val="10"/>
        <name val="Arial"/>
      </font>
    </dxf>
    <dxf>
      <font>
        <b/>
        <color rgb="FF1B5E20"/>
        <sz val="10"/>
        <name val="Arial"/>
      </font>
      <fill>
        <patternFill patternType="solid">
          <bgColor rgb="FFD8EFD8"/>
        </patternFill>
      </fill>
    </dxf>
    <dxf>
      <font>
        <b/>
        <color rgb="FFA32020"/>
        <sz val="10"/>
        <name val="Arial"/>
      </font>
      <fill>
        <patternFill patternType="solid">
          <bgColor rgb="FFF8D2D2"/>
        </patternFill>
      </fill>
    </dxf>
    <dxf>
      <font>
        <b/>
        <color rgb="FF8A5A00"/>
        <sz val="10"/>
        <name val="Arial"/>
      </font>
      <fill>
        <patternFill patternType="solid">
          <bgColor rgb="FFFCE8C8"/>
        </patternFill>
      </fill>
    </dxf>
    <dxf>
      <font>
        <color rgb="FF6B7280"/>
        <sz val="10"/>
        <name val="Arial"/>
      </font>
      <fill>
        <patternFill patternType="solid">
          <bgColor rgb="FFE8E8E8"/>
        </patternFill>
      </fill>
    </dxf>
    <dxf>
      <font>
        <color rgb="FF9AA3AF"/>
        <sz val="10"/>
        <name val="Arial"/>
      </font>
    </dxf>
    <dxf>
      <font>
        <b/>
        <color rgb="FFA32020"/>
        <sz val="10"/>
        <name val="Arial"/>
      </font>
    </dxf>
    <dxf>
      <font>
        <b/>
        <color rgb="FF1B5E20"/>
        <sz val="10"/>
        <name val="Arial"/>
      </font>
      <fill>
        <patternFill patternType="solid">
          <bgColor rgb="FFD8EFD8"/>
        </patternFill>
      </fill>
    </dxf>
    <dxf>
      <font>
        <b/>
        <color rgb="FFA32020"/>
        <sz val="10"/>
        <name val="Arial"/>
      </font>
      <fill>
        <patternFill patternType="solid">
          <bgColor rgb="FFF8D2D2"/>
        </patternFill>
      </fill>
    </dxf>
    <dxf>
      <font>
        <b/>
        <color rgb="FF8A5A00"/>
        <sz val="10"/>
        <name val="Arial"/>
      </font>
      <fill>
        <patternFill patternType="solid">
          <bgColor rgb="FFFCE8C8"/>
        </patternFill>
      </fill>
    </dxf>
    <dxf>
      <font>
        <color rgb="FF6B7280"/>
        <sz val="10"/>
        <name val="Arial"/>
      </font>
      <fill>
        <patternFill patternType="solid">
          <bgColor rgb="FFE8E8E8"/>
        </patternFill>
      </fill>
    </dxf>
    <dxf>
      <font>
        <color rgb="FF9AA3AF"/>
        <sz val="10"/>
        <name val="Arial"/>
      </font>
    </dxf>
    <dxf>
      <font>
        <b/>
        <color rgb="FFA32020"/>
        <sz val="10"/>
        <name val="Arial"/>
      </font>
    </dxf>
    <dxf>
      <font>
        <b/>
        <color rgb="FF1B5E20"/>
        <sz val="10"/>
        <name val="Arial"/>
      </font>
      <fill>
        <patternFill patternType="solid">
          <bgColor rgb="FFD8EFD8"/>
        </patternFill>
      </fill>
    </dxf>
    <dxf>
      <font>
        <b/>
        <color rgb="FFA32020"/>
        <sz val="10"/>
        <name val="Arial"/>
      </font>
      <fill>
        <patternFill patternType="solid">
          <bgColor rgb="FFF8D2D2"/>
        </patternFill>
      </fill>
    </dxf>
    <dxf>
      <font>
        <b/>
        <color rgb="FF8A5A00"/>
        <sz val="10"/>
        <name val="Arial"/>
      </font>
      <fill>
        <patternFill patternType="solid">
          <bgColor rgb="FFFCE8C8"/>
        </patternFill>
      </fill>
    </dxf>
    <dxf>
      <font>
        <color rgb="FF6B7280"/>
        <sz val="10"/>
        <name val="Arial"/>
      </font>
      <fill>
        <patternFill patternType="solid">
          <bgColor rgb="FFE8E8E8"/>
        </patternFill>
      </fill>
    </dxf>
    <dxf>
      <font>
        <color rgb="FF9AA3AF"/>
        <sz val="10"/>
        <name val="Arial"/>
      </font>
    </dxf>
    <dxf>
      <font>
        <b/>
        <color rgb="FFA32020"/>
        <sz val="10"/>
        <name val="Arial"/>
      </fon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14.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 Id="rId9" Type="http://schemas.openxmlformats.org/officeDocument/2006/relationships/worksheet" Target="worksheets/sheet5.xml"/><Relationship Id="rId10" Type="http://schemas.openxmlformats.org/officeDocument/2006/relationships/worksheet" Target="worksheets/sheet6.xml"/><Relationship Id="rId11" Type="http://schemas.openxmlformats.org/officeDocument/2006/relationships/worksheet" Target="worksheets/sheet7.xml"/><Relationship Id="rId12" Type="http://schemas.openxmlformats.org/officeDocument/2006/relationships/worksheet" Target="worksheets/sheet8.xml"/><Relationship Id="rId13" Type="http://schemas.openxmlformats.org/officeDocument/2006/relationships/worksheet" Target="worksheets/sheet9.xml"/><Relationship Id="rId14" Type="http://schemas.openxmlformats.org/officeDocument/2006/relationships/worksheet" Target="worksheets/sheet10.xml"/><Relationship Id="rId15" Type="http://schemas.openxmlformats.org/officeDocument/2006/relationships/worksheet" Target="worksheets/sheet11.xml"/><Relationship Id="rId16" Type="http://schemas.openxmlformats.org/officeDocument/2006/relationships/worksheet" Target="worksheets/sheet12.xml"/><Relationship Id="rId17" Type="http://schemas.openxmlformats.org/officeDocument/2006/relationships/worksheet" Target="worksheets/sheet13.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43"/>
  <sheetViews>
    <sheetView workbookViewId="0" showGridLines="0"/>
  </sheetViews>
  <sheetFormatPr defaultRowHeight="15" outlineLevelRow="0" outlineLevelCol="0" x14ac:dyDescent="55"/>
  <cols>
    <col min="1" max="1" width="26" customWidth="1"/>
    <col min="2" max="2" width="100" customWidth="1"/>
  </cols>
  <sheetData>
    <row r="1" ht="26" customHeight="1" spans="1:2" x14ac:dyDescent="0.25">
      <c r="A1" s="1" t="s">
        <v>0</v>
      </c>
      <c r="B1" s="1"/>
    </row>
    <row r="2" ht="18" customHeight="1" spans="1:2" x14ac:dyDescent="0.25">
      <c r="A2" s="2" t="s">
        <v>1</v>
      </c>
      <c r="B2" s="2"/>
    </row>
    <row r="4" ht="6" customHeight="1" x14ac:dyDescent="0.25"/>
    <row r="5" ht="20" customHeight="1" spans="1:2" x14ac:dyDescent="0.25">
      <c r="A5" s="3" t="s">
        <v>2</v>
      </c>
      <c r="B5" s="3"/>
    </row>
    <row r="6" ht="43.8" customHeight="1" spans="1:2" x14ac:dyDescent="0.25">
      <c r="A6" s="4" t="s">
        <v>3</v>
      </c>
      <c r="B6" s="5" t="s">
        <v>4</v>
      </c>
    </row>
    <row r="7" ht="31.2" customHeight="1" spans="1:2" x14ac:dyDescent="0.25">
      <c r="A7" s="4" t="s">
        <v>5</v>
      </c>
      <c r="B7" s="5" t="s">
        <v>6</v>
      </c>
    </row>
    <row r="8" ht="43.8" customHeight="1" spans="1:2" x14ac:dyDescent="0.25">
      <c r="A8" s="4" t="s">
        <v>7</v>
      </c>
      <c r="B8" s="5" t="s">
        <v>8</v>
      </c>
    </row>
    <row r="9" ht="6" customHeight="1" x14ac:dyDescent="0.25"/>
    <row r="10" ht="20" customHeight="1" spans="1:2" x14ac:dyDescent="0.25">
      <c r="A10" s="3" t="s">
        <v>9</v>
      </c>
      <c r="B10" s="3"/>
    </row>
    <row r="11" ht="30" customHeight="1" spans="1:2" x14ac:dyDescent="0.25">
      <c r="A11" s="4" t="s">
        <v>10</v>
      </c>
      <c r="B11" s="6" t="s">
        <v>11</v>
      </c>
    </row>
    <row r="12" ht="30" customHeight="1" spans="1:2" x14ac:dyDescent="0.25">
      <c r="A12" s="4" t="s">
        <v>12</v>
      </c>
      <c r="B12" s="6" t="s">
        <v>13</v>
      </c>
    </row>
    <row r="13" ht="30" customHeight="1" spans="1:2" x14ac:dyDescent="0.25">
      <c r="A13" s="4" t="s">
        <v>14</v>
      </c>
      <c r="B13" s="6" t="s">
        <v>15</v>
      </c>
    </row>
    <row r="14" ht="30" customHeight="1" spans="1:2" x14ac:dyDescent="0.25">
      <c r="A14" s="4" t="s">
        <v>16</v>
      </c>
      <c r="B14" s="6" t="s">
        <v>15</v>
      </c>
    </row>
    <row r="15" ht="31.2" customHeight="1" spans="1:2" x14ac:dyDescent="0.25">
      <c r="A15" s="4" t="s">
        <v>17</v>
      </c>
      <c r="B15" s="5" t="s">
        <v>18</v>
      </c>
    </row>
    <row r="16" ht="31.2" customHeight="1" spans="1:2" x14ac:dyDescent="0.25">
      <c r="A16" s="4" t="s">
        <v>19</v>
      </c>
      <c r="B16" s="5" t="s">
        <v>20</v>
      </c>
    </row>
    <row r="17" ht="6" customHeight="1" x14ac:dyDescent="0.25"/>
    <row r="18" ht="20" customHeight="1" spans="1:2" x14ac:dyDescent="0.25">
      <c r="A18" s="3" t="s">
        <v>21</v>
      </c>
      <c r="B18" s="3"/>
    </row>
    <row r="19" ht="43.8" customHeight="1" spans="1:2" x14ac:dyDescent="0.25">
      <c r="A19" s="4" t="s">
        <v>22</v>
      </c>
      <c r="B19" s="5" t="s">
        <v>23</v>
      </c>
    </row>
    <row r="20" ht="43.8" customHeight="1" spans="1:2" x14ac:dyDescent="0.25">
      <c r="A20" s="4" t="s">
        <v>24</v>
      </c>
      <c r="B20" s="5" t="s">
        <v>25</v>
      </c>
    </row>
    <row r="21" ht="31.2" customHeight="1" spans="1:2" x14ac:dyDescent="0.25">
      <c r="A21" s="4" t="s">
        <v>26</v>
      </c>
      <c r="B21" s="5" t="s">
        <v>27</v>
      </c>
    </row>
    <row r="22" ht="6" customHeight="1" x14ac:dyDescent="0.25"/>
    <row r="23" ht="20" customHeight="1" spans="1:2" x14ac:dyDescent="0.25">
      <c r="A23" s="3" t="s">
        <v>28</v>
      </c>
      <c r="B23" s="3"/>
    </row>
    <row r="24" ht="31.2" customHeight="1" spans="1:2" x14ac:dyDescent="0.25">
      <c r="A24" s="4" t="s">
        <v>29</v>
      </c>
      <c r="B24" s="5" t="s">
        <v>30</v>
      </c>
    </row>
    <row r="25" ht="43.8" customHeight="1" spans="1:2" x14ac:dyDescent="0.25">
      <c r="A25" s="4" t="s">
        <v>31</v>
      </c>
      <c r="B25" s="5" t="s">
        <v>32</v>
      </c>
    </row>
    <row r="26" ht="31.2" customHeight="1" spans="1:2" x14ac:dyDescent="0.25">
      <c r="A26" s="4" t="s">
        <v>33</v>
      </c>
      <c r="B26" s="5" t="s">
        <v>34</v>
      </c>
    </row>
    <row r="27" ht="43.8" customHeight="1" spans="1:2" x14ac:dyDescent="0.25">
      <c r="A27" s="4" t="s">
        <v>35</v>
      </c>
      <c r="B27" s="5" t="s">
        <v>36</v>
      </c>
    </row>
    <row r="28" ht="43.8" customHeight="1" spans="1:2" x14ac:dyDescent="0.25">
      <c r="A28" s="4" t="s">
        <v>37</v>
      </c>
      <c r="B28" s="5" t="s">
        <v>38</v>
      </c>
    </row>
    <row r="29" ht="43.8" customHeight="1" spans="1:2" x14ac:dyDescent="0.25">
      <c r="A29" s="4" t="s">
        <v>39</v>
      </c>
      <c r="B29" s="5" t="s">
        <v>40</v>
      </c>
    </row>
    <row r="30" ht="31.2" customHeight="1" spans="1:2" x14ac:dyDescent="0.25">
      <c r="A30" s="4" t="s">
        <v>41</v>
      </c>
      <c r="B30" s="5" t="s">
        <v>42</v>
      </c>
    </row>
    <row r="31" ht="6" customHeight="1" x14ac:dyDescent="0.25"/>
    <row r="32" ht="20" customHeight="1" spans="1:2" x14ac:dyDescent="0.25">
      <c r="A32" s="3" t="s">
        <v>43</v>
      </c>
      <c r="B32" s="3"/>
    </row>
    <row r="33" ht="30" customHeight="1" spans="1:2" x14ac:dyDescent="0.25">
      <c r="A33" s="4" t="s">
        <v>44</v>
      </c>
      <c r="B33" s="5" t="s">
        <v>45</v>
      </c>
    </row>
    <row r="34" ht="30" customHeight="1" spans="1:2" x14ac:dyDescent="0.25">
      <c r="A34" s="4" t="s">
        <v>46</v>
      </c>
      <c r="B34" s="5" t="s">
        <v>47</v>
      </c>
    </row>
    <row r="35" ht="30" customHeight="1" spans="1:2" x14ac:dyDescent="0.25">
      <c r="A35" s="4" t="s">
        <v>48</v>
      </c>
      <c r="B35" s="5" t="s">
        <v>49</v>
      </c>
    </row>
    <row r="36" ht="30" customHeight="1" spans="1:2" x14ac:dyDescent="0.25">
      <c r="A36" s="4" t="s">
        <v>50</v>
      </c>
      <c r="B36" s="5" t="s">
        <v>51</v>
      </c>
    </row>
    <row r="37" ht="30" customHeight="1" spans="1:2" x14ac:dyDescent="0.25">
      <c r="A37" s="4" t="s">
        <v>52</v>
      </c>
      <c r="B37" s="5" t="s">
        <v>53</v>
      </c>
    </row>
    <row r="38" ht="30" customHeight="1" spans="1:2" x14ac:dyDescent="0.25">
      <c r="A38" s="4" t="s">
        <v>54</v>
      </c>
      <c r="B38" s="5" t="s">
        <v>55</v>
      </c>
    </row>
    <row r="39" ht="6" customHeight="1" x14ac:dyDescent="0.25"/>
    <row r="40" ht="20" customHeight="1" spans="1:2" x14ac:dyDescent="0.25">
      <c r="A40" s="3" t="s">
        <v>56</v>
      </c>
      <c r="B40" s="3"/>
    </row>
    <row r="41" ht="30" customHeight="1" spans="1:2" x14ac:dyDescent="0.25">
      <c r="A41" s="4" t="s">
        <v>57</v>
      </c>
      <c r="B41" s="5" t="s">
        <v>58</v>
      </c>
    </row>
    <row r="42" ht="43.8" customHeight="1" spans="1:2" x14ac:dyDescent="0.25">
      <c r="A42" s="4" t="s">
        <v>59</v>
      </c>
      <c r="B42" s="5" t="s">
        <v>60</v>
      </c>
    </row>
    <row r="43" ht="31.2" customHeight="1" spans="1:2" x14ac:dyDescent="0.25">
      <c r="A43" s="4" t="s">
        <v>61</v>
      </c>
      <c r="B43" s="5" t="s">
        <v>62</v>
      </c>
    </row>
  </sheetData>
  <mergeCells count="8">
    <mergeCell ref="A1:B1"/>
    <mergeCell ref="A2:B2"/>
    <mergeCell ref="A5:B5"/>
    <mergeCell ref="A10:B10"/>
    <mergeCell ref="A18:B18"/>
    <mergeCell ref="A23:B23"/>
    <mergeCell ref="A32:B32"/>
    <mergeCell ref="A40:B40"/>
  </mergeCells>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F27"/>
  <sheetViews>
    <sheetView workbookViewId="0" showGridLines="0"/>
  </sheetViews>
  <sheetFormatPr defaultRowHeight="15" outlineLevelRow="0" outlineLevelCol="0" x14ac:dyDescent="55"/>
  <cols>
    <col min="1" max="1" width="12" customWidth="1"/>
    <col min="2" max="2" width="24" customWidth="1"/>
    <col min="3" max="3" width="16" customWidth="1"/>
    <col min="4" max="4" width="18" customWidth="1"/>
    <col min="5" max="5" width="40" customWidth="1"/>
    <col min="6" max="6" width="38" customWidth="1"/>
  </cols>
  <sheetData>
    <row r="1" ht="26" customHeight="1" spans="1:6" x14ac:dyDescent="0.25">
      <c r="A1" s="1" t="s">
        <v>99</v>
      </c>
      <c r="B1" s="1"/>
      <c r="C1" s="1"/>
      <c r="D1" s="1"/>
      <c r="E1" s="1"/>
      <c r="F1" s="1"/>
    </row>
    <row r="2" ht="18" customHeight="1" spans="1:6" x14ac:dyDescent="0.25">
      <c r="A2" s="2" t="s">
        <v>100</v>
      </c>
      <c r="B2" s="2"/>
      <c r="C2" s="2"/>
      <c r="D2" s="2"/>
      <c r="E2" s="2"/>
      <c r="F2" s="2"/>
    </row>
    <row r="3" ht="24" customHeight="1" spans="1:6" x14ac:dyDescent="0.25">
      <c r="A3" s="22" t="s">
        <v>101</v>
      </c>
      <c r="B3" s="22" t="s">
        <v>102</v>
      </c>
      <c r="C3" s="22" t="s">
        <v>103</v>
      </c>
      <c r="D3" s="22" t="s">
        <v>104</v>
      </c>
      <c r="E3" s="22" t="s">
        <v>105</v>
      </c>
      <c r="F3" s="22" t="s">
        <v>106</v>
      </c>
    </row>
    <row r="4" ht="43.8" customHeight="1" spans="1:6" x14ac:dyDescent="0.25">
      <c r="A4" s="23" t="s">
        <v>107</v>
      </c>
      <c r="B4" s="24" t="s">
        <v>108</v>
      </c>
      <c r="C4" s="24" t="s">
        <v>109</v>
      </c>
      <c r="D4" s="24" t="s">
        <v>110</v>
      </c>
      <c r="E4" s="24" t="s">
        <v>111</v>
      </c>
      <c r="F4" s="25" t="s">
        <v>92</v>
      </c>
    </row>
    <row r="5" ht="43.8" customHeight="1" spans="1:6" x14ac:dyDescent="0.25">
      <c r="A5" s="26" t="s">
        <v>112</v>
      </c>
      <c r="B5" s="27" t="s">
        <v>113</v>
      </c>
      <c r="C5" s="27" t="s">
        <v>114</v>
      </c>
      <c r="D5" s="27" t="s">
        <v>107</v>
      </c>
      <c r="E5" s="27" t="s">
        <v>115</v>
      </c>
      <c r="F5" s="25" t="s">
        <v>92</v>
      </c>
    </row>
    <row r="6" ht="43.8" customHeight="1" spans="1:6" x14ac:dyDescent="0.25">
      <c r="A6" s="23" t="s">
        <v>116</v>
      </c>
      <c r="B6" s="24" t="s">
        <v>117</v>
      </c>
      <c r="C6" s="24" t="s">
        <v>118</v>
      </c>
      <c r="D6" s="24" t="s">
        <v>107</v>
      </c>
      <c r="E6" s="24" t="s">
        <v>119</v>
      </c>
      <c r="F6" s="25" t="s">
        <v>92</v>
      </c>
    </row>
    <row r="7" ht="43.8" customHeight="1" spans="1:6" x14ac:dyDescent="0.25">
      <c r="A7" s="26" t="s">
        <v>120</v>
      </c>
      <c r="B7" s="27" t="s">
        <v>121</v>
      </c>
      <c r="C7" s="27" t="s">
        <v>122</v>
      </c>
      <c r="D7" s="27" t="s">
        <v>107</v>
      </c>
      <c r="E7" s="27" t="s">
        <v>123</v>
      </c>
      <c r="F7" s="25" t="s">
        <v>92</v>
      </c>
    </row>
    <row r="8" ht="43.8" customHeight="1" spans="1:6" x14ac:dyDescent="0.25">
      <c r="A8" s="23" t="s">
        <v>124</v>
      </c>
      <c r="B8" s="24" t="s">
        <v>125</v>
      </c>
      <c r="C8" s="24" t="s">
        <v>118</v>
      </c>
      <c r="D8" s="24" t="s">
        <v>116</v>
      </c>
      <c r="E8" s="24" t="s">
        <v>126</v>
      </c>
      <c r="F8" s="25" t="s">
        <v>92</v>
      </c>
    </row>
    <row r="9" ht="31.2" customHeight="1" spans="1:6" x14ac:dyDescent="0.25">
      <c r="A9" s="26" t="s">
        <v>127</v>
      </c>
      <c r="B9" s="27" t="s">
        <v>128</v>
      </c>
      <c r="C9" s="27" t="s">
        <v>118</v>
      </c>
      <c r="D9" s="27" t="s">
        <v>124</v>
      </c>
      <c r="E9" s="27" t="s">
        <v>129</v>
      </c>
      <c r="F9" s="25" t="s">
        <v>92</v>
      </c>
    </row>
    <row r="10" ht="31.2" customHeight="1" spans="1:6" x14ac:dyDescent="0.25">
      <c r="A10" s="23" t="s">
        <v>130</v>
      </c>
      <c r="B10" s="24" t="s">
        <v>131</v>
      </c>
      <c r="C10" s="24" t="s">
        <v>118</v>
      </c>
      <c r="D10" s="24" t="s">
        <v>124</v>
      </c>
      <c r="E10" s="24" t="s">
        <v>132</v>
      </c>
      <c r="F10" s="25" t="s">
        <v>92</v>
      </c>
    </row>
    <row r="11" ht="43.8" customHeight="1" spans="1:6" x14ac:dyDescent="0.25">
      <c r="A11" s="26" t="s">
        <v>133</v>
      </c>
      <c r="B11" s="27" t="s">
        <v>134</v>
      </c>
      <c r="C11" s="27" t="s">
        <v>122</v>
      </c>
      <c r="D11" s="27" t="s">
        <v>120</v>
      </c>
      <c r="E11" s="27" t="s">
        <v>135</v>
      </c>
      <c r="F11" s="25" t="s">
        <v>92</v>
      </c>
    </row>
    <row r="12" ht="31.2" customHeight="1" spans="1:6" x14ac:dyDescent="0.25">
      <c r="A12" s="23" t="s">
        <v>136</v>
      </c>
      <c r="B12" s="24" t="s">
        <v>137</v>
      </c>
      <c r="C12" s="24" t="s">
        <v>122</v>
      </c>
      <c r="D12" s="24" t="s">
        <v>133</v>
      </c>
      <c r="E12" s="24" t="s">
        <v>138</v>
      </c>
      <c r="F12" s="25" t="s">
        <v>92</v>
      </c>
    </row>
    <row r="13" ht="56.4" customHeight="1" spans="1:6" x14ac:dyDescent="0.25">
      <c r="A13" s="26" t="s">
        <v>139</v>
      </c>
      <c r="B13" s="27" t="s">
        <v>140</v>
      </c>
      <c r="C13" s="27" t="s">
        <v>122</v>
      </c>
      <c r="D13" s="27" t="s">
        <v>124</v>
      </c>
      <c r="E13" s="27" t="s">
        <v>141</v>
      </c>
      <c r="F13" s="25" t="s">
        <v>92</v>
      </c>
    </row>
    <row r="15" ht="20" customHeight="1" spans="1:6" x14ac:dyDescent="0.25">
      <c r="A15" s="28" t="s">
        <v>142</v>
      </c>
      <c r="B15" s="28"/>
      <c r="C15" s="28"/>
      <c r="D15" s="28"/>
      <c r="E15" s="28"/>
      <c r="F15" s="28"/>
    </row>
    <row r="16" ht="24" customHeight="1" spans="1:6" x14ac:dyDescent="0.25">
      <c r="A16" s="29" t="s">
        <v>101</v>
      </c>
      <c r="B16" s="29" t="s">
        <v>143</v>
      </c>
      <c r="C16" s="29" t="s">
        <v>144</v>
      </c>
      <c r="D16" s="29" t="s">
        <v>29</v>
      </c>
      <c r="E16" s="29" t="s">
        <v>31</v>
      </c>
      <c r="F16" s="29" t="s">
        <v>145</v>
      </c>
    </row>
    <row r="17" ht="43.8" customHeight="1" spans="1:6" x14ac:dyDescent="0.25">
      <c r="A17" s="23" t="s">
        <v>146</v>
      </c>
      <c r="B17" s="24" t="s">
        <v>147</v>
      </c>
      <c r="C17" s="24" t="s">
        <v>148</v>
      </c>
      <c r="D17" s="24" t="s">
        <v>149</v>
      </c>
      <c r="E17" s="24" t="s">
        <v>150</v>
      </c>
      <c r="F17" s="24" t="s">
        <v>151</v>
      </c>
    </row>
    <row r="18" ht="43.8" customHeight="1" spans="1:6" x14ac:dyDescent="0.25">
      <c r="A18" s="26" t="s">
        <v>152</v>
      </c>
      <c r="B18" s="27" t="s">
        <v>153</v>
      </c>
      <c r="C18" s="27" t="s">
        <v>148</v>
      </c>
      <c r="D18" s="27" t="s">
        <v>149</v>
      </c>
      <c r="E18" s="27" t="s">
        <v>150</v>
      </c>
      <c r="F18" s="27" t="s">
        <v>154</v>
      </c>
    </row>
    <row r="19" ht="43.8" customHeight="1" spans="1:6" x14ac:dyDescent="0.25">
      <c r="A19" s="23" t="s">
        <v>155</v>
      </c>
      <c r="B19" s="24" t="s">
        <v>156</v>
      </c>
      <c r="C19" s="24" t="s">
        <v>157</v>
      </c>
      <c r="D19" s="24" t="s">
        <v>158</v>
      </c>
      <c r="E19" s="24" t="s">
        <v>150</v>
      </c>
      <c r="F19" s="24" t="s">
        <v>159</v>
      </c>
    </row>
    <row r="20" ht="43.8" customHeight="1" spans="1:6" x14ac:dyDescent="0.25">
      <c r="A20" s="26" t="s">
        <v>160</v>
      </c>
      <c r="B20" s="27" t="s">
        <v>161</v>
      </c>
      <c r="C20" s="27" t="s">
        <v>157</v>
      </c>
      <c r="D20" s="27" t="s">
        <v>158</v>
      </c>
      <c r="E20" s="27" t="s">
        <v>162</v>
      </c>
      <c r="F20" s="27" t="s">
        <v>163</v>
      </c>
    </row>
    <row r="21" ht="43.8" customHeight="1" spans="1:6" x14ac:dyDescent="0.25">
      <c r="A21" s="23" t="s">
        <v>164</v>
      </c>
      <c r="B21" s="24" t="s">
        <v>165</v>
      </c>
      <c r="C21" s="24" t="s">
        <v>166</v>
      </c>
      <c r="D21" s="24" t="s">
        <v>167</v>
      </c>
      <c r="E21" s="24" t="s">
        <v>168</v>
      </c>
      <c r="F21" s="24" t="s">
        <v>169</v>
      </c>
    </row>
    <row r="22" ht="43.8" customHeight="1" spans="1:6" x14ac:dyDescent="0.25">
      <c r="A22" s="26" t="s">
        <v>170</v>
      </c>
      <c r="B22" s="27" t="s">
        <v>171</v>
      </c>
      <c r="C22" s="27" t="s">
        <v>172</v>
      </c>
      <c r="D22" s="27" t="s">
        <v>158</v>
      </c>
      <c r="E22" s="27" t="s">
        <v>173</v>
      </c>
      <c r="F22" s="27" t="s">
        <v>174</v>
      </c>
    </row>
    <row r="23" ht="56.4" customHeight="1" spans="1:6" x14ac:dyDescent="0.25">
      <c r="A23" s="23" t="s">
        <v>175</v>
      </c>
      <c r="B23" s="24" t="s">
        <v>176</v>
      </c>
      <c r="C23" s="24" t="s">
        <v>148</v>
      </c>
      <c r="D23" s="24" t="s">
        <v>149</v>
      </c>
      <c r="E23" s="24" t="s">
        <v>150</v>
      </c>
      <c r="F23" s="24" t="s">
        <v>177</v>
      </c>
    </row>
    <row r="24" ht="56.4" customHeight="1" spans="1:6" x14ac:dyDescent="0.25">
      <c r="A24" s="26" t="s">
        <v>178</v>
      </c>
      <c r="B24" s="27" t="s">
        <v>179</v>
      </c>
      <c r="C24" s="27" t="s">
        <v>148</v>
      </c>
      <c r="D24" s="27" t="s">
        <v>149</v>
      </c>
      <c r="E24" s="27" t="s">
        <v>180</v>
      </c>
      <c r="F24" s="27" t="s">
        <v>181</v>
      </c>
    </row>
    <row r="25" ht="43.8" customHeight="1" spans="1:6" x14ac:dyDescent="0.25">
      <c r="A25" s="23" t="s">
        <v>182</v>
      </c>
      <c r="B25" s="24" t="s">
        <v>183</v>
      </c>
      <c r="C25" s="24" t="s">
        <v>172</v>
      </c>
      <c r="D25" s="24" t="s">
        <v>158</v>
      </c>
      <c r="E25" s="24" t="s">
        <v>184</v>
      </c>
      <c r="F25" s="24" t="s">
        <v>185</v>
      </c>
    </row>
    <row r="27" ht="30" customHeight="1" spans="1:6" x14ac:dyDescent="0.25">
      <c r="A27" s="30" t="s">
        <v>186</v>
      </c>
      <c r="B27" s="30"/>
      <c r="C27" s="30"/>
      <c r="D27" s="30"/>
      <c r="E27" s="30"/>
      <c r="F27" s="30"/>
    </row>
  </sheetData>
  <mergeCells count="4">
    <mergeCell ref="A1:F1"/>
    <mergeCell ref="A2:F2"/>
    <mergeCell ref="A15:F15"/>
    <mergeCell ref="A27:F27"/>
  </mergeCells>
  <pageSetup orientation="landscape" fitToWidth="1" fitToHeight="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L17"/>
  <sheetViews>
    <sheetView workbookViewId="0" showGridLines="0">
      <pane xSplit="1" ySplit="3" topLeftCell="B4" activePane="bottomRight" state="frozen"/>
      <selection pane="bottomRight"/>
    </sheetView>
  </sheetViews>
  <sheetFormatPr defaultRowHeight="15" outlineLevelRow="0" outlineLevelCol="0" x14ac:dyDescent="55"/>
  <cols>
    <col min="2" max="2" width="26" customWidth="1"/>
    <col min="3" max="3" width="34" customWidth="1"/>
    <col min="5" max="5" width="30" customWidth="1"/>
    <col min="6" max="6" width="56" customWidth="1"/>
    <col min="7" max="7" width="46" customWidth="1"/>
    <col min="8" max="8" width="26" customWidth="1"/>
    <col min="9" max="9" width="11" customWidth="1"/>
    <col min="10" max="10" width="13" customWidth="1"/>
    <col min="11" max="11" width="11" customWidth="1"/>
    <col min="12" max="12" width="24" customWidth="1"/>
  </cols>
  <sheetData>
    <row r="1" ht="26" customHeight="1" spans="1:12" x14ac:dyDescent="0.25">
      <c r="A1" s="1" t="s">
        <v>187</v>
      </c>
      <c r="B1" s="1"/>
      <c r="C1" s="1"/>
      <c r="D1" s="1"/>
      <c r="E1" s="1"/>
      <c r="F1" s="1"/>
      <c r="G1" s="1"/>
      <c r="H1" s="1"/>
      <c r="I1" s="1"/>
      <c r="J1" s="1"/>
      <c r="K1" s="1"/>
      <c r="L1" s="1"/>
    </row>
    <row r="2" ht="18" customHeight="1" spans="1:12" x14ac:dyDescent="0.25">
      <c r="A2" s="2" t="s">
        <v>188</v>
      </c>
      <c r="B2" s="2"/>
      <c r="C2" s="2"/>
      <c r="D2" s="2"/>
      <c r="E2" s="2"/>
      <c r="F2" s="2"/>
      <c r="G2" s="2"/>
      <c r="H2" s="2"/>
      <c r="I2" s="2"/>
      <c r="J2" s="2"/>
      <c r="K2" s="2"/>
      <c r="L2" s="2"/>
    </row>
    <row r="3" ht="24" customHeight="1" spans="1:12" x14ac:dyDescent="0.25">
      <c r="A3" s="7" t="s">
        <v>189</v>
      </c>
      <c r="B3" s="7" t="s">
        <v>190</v>
      </c>
      <c r="C3" s="7" t="s">
        <v>191</v>
      </c>
      <c r="D3" s="7" t="s">
        <v>54</v>
      </c>
      <c r="E3" s="7" t="s">
        <v>192</v>
      </c>
      <c r="F3" s="7" t="s">
        <v>193</v>
      </c>
      <c r="G3" s="7" t="s">
        <v>194</v>
      </c>
      <c r="H3" s="7" t="s">
        <v>195</v>
      </c>
      <c r="I3" s="7" t="s">
        <v>196</v>
      </c>
      <c r="J3" s="7" t="s">
        <v>14</v>
      </c>
      <c r="K3" s="7" t="s">
        <v>93</v>
      </c>
      <c r="L3" s="7" t="s">
        <v>197</v>
      </c>
    </row>
    <row r="4" ht="69" customHeight="1" spans="1:12" x14ac:dyDescent="0.25">
      <c r="A4" s="23" t="s">
        <v>198</v>
      </c>
      <c r="B4" s="24" t="s">
        <v>199</v>
      </c>
      <c r="C4" s="24" t="s">
        <v>200</v>
      </c>
      <c r="D4" s="31" t="s">
        <v>201</v>
      </c>
      <c r="E4" s="24" t="s">
        <v>202</v>
      </c>
      <c r="F4" s="24" t="s">
        <v>203</v>
      </c>
      <c r="G4" s="24" t="s">
        <v>204</v>
      </c>
      <c r="H4" s="32" t="s">
        <v>92</v>
      </c>
      <c r="I4" s="31" t="s">
        <v>44</v>
      </c>
      <c r="J4" s="24" t="s">
        <v>92</v>
      </c>
      <c r="K4" s="33" t="s">
        <v>92</v>
      </c>
      <c r="L4" s="32" t="s">
        <v>92</v>
      </c>
    </row>
    <row r="5" ht="69" customHeight="1" spans="1:12" x14ac:dyDescent="0.25">
      <c r="A5" s="26" t="s">
        <v>205</v>
      </c>
      <c r="B5" s="27" t="s">
        <v>206</v>
      </c>
      <c r="C5" s="27" t="s">
        <v>207</v>
      </c>
      <c r="D5" s="34" t="s">
        <v>201</v>
      </c>
      <c r="E5" s="27" t="s">
        <v>208</v>
      </c>
      <c r="F5" s="27" t="s">
        <v>209</v>
      </c>
      <c r="G5" s="27" t="s">
        <v>210</v>
      </c>
      <c r="H5" s="32" t="s">
        <v>92</v>
      </c>
      <c r="I5" s="34" t="s">
        <v>44</v>
      </c>
      <c r="J5" s="27" t="s">
        <v>92</v>
      </c>
      <c r="K5" s="35" t="s">
        <v>92</v>
      </c>
      <c r="L5" s="32" t="s">
        <v>92</v>
      </c>
    </row>
    <row r="6" ht="69" customHeight="1" spans="1:12" x14ac:dyDescent="0.25">
      <c r="A6" s="23" t="s">
        <v>211</v>
      </c>
      <c r="B6" s="24" t="s">
        <v>212</v>
      </c>
      <c r="C6" s="24" t="s">
        <v>213</v>
      </c>
      <c r="D6" s="31" t="s">
        <v>214</v>
      </c>
      <c r="E6" s="24" t="s">
        <v>208</v>
      </c>
      <c r="F6" s="24" t="s">
        <v>215</v>
      </c>
      <c r="G6" s="24" t="s">
        <v>216</v>
      </c>
      <c r="H6" s="32" t="s">
        <v>92</v>
      </c>
      <c r="I6" s="31" t="s">
        <v>44</v>
      </c>
      <c r="J6" s="24" t="s">
        <v>92</v>
      </c>
      <c r="K6" s="33" t="s">
        <v>92</v>
      </c>
      <c r="L6" s="32" t="s">
        <v>92</v>
      </c>
    </row>
    <row r="7" ht="106.8" customHeight="1" spans="1:12" x14ac:dyDescent="0.25">
      <c r="A7" s="26" t="s">
        <v>217</v>
      </c>
      <c r="B7" s="27" t="s">
        <v>218</v>
      </c>
      <c r="C7" s="27" t="s">
        <v>219</v>
      </c>
      <c r="D7" s="34" t="s">
        <v>201</v>
      </c>
      <c r="E7" s="27" t="s">
        <v>220</v>
      </c>
      <c r="F7" s="27" t="s">
        <v>221</v>
      </c>
      <c r="G7" s="27" t="s">
        <v>222</v>
      </c>
      <c r="H7" s="32" t="s">
        <v>92</v>
      </c>
      <c r="I7" s="34" t="s">
        <v>44</v>
      </c>
      <c r="J7" s="27" t="s">
        <v>92</v>
      </c>
      <c r="K7" s="35" t="s">
        <v>92</v>
      </c>
      <c r="L7" s="32" t="s">
        <v>92</v>
      </c>
    </row>
    <row r="8" ht="94.2" customHeight="1" spans="1:12" x14ac:dyDescent="0.25">
      <c r="A8" s="23" t="s">
        <v>223</v>
      </c>
      <c r="B8" s="24" t="s">
        <v>224</v>
      </c>
      <c r="C8" s="24" t="s">
        <v>225</v>
      </c>
      <c r="D8" s="31" t="s">
        <v>201</v>
      </c>
      <c r="E8" s="24" t="s">
        <v>208</v>
      </c>
      <c r="F8" s="24" t="s">
        <v>226</v>
      </c>
      <c r="G8" s="24" t="s">
        <v>227</v>
      </c>
      <c r="H8" s="32" t="s">
        <v>92</v>
      </c>
      <c r="I8" s="31" t="s">
        <v>44</v>
      </c>
      <c r="J8" s="24" t="s">
        <v>92</v>
      </c>
      <c r="K8" s="33" t="s">
        <v>92</v>
      </c>
      <c r="L8" s="32" t="s">
        <v>92</v>
      </c>
    </row>
    <row r="9" ht="56.4" customHeight="1" spans="1:12" x14ac:dyDescent="0.25">
      <c r="A9" s="26" t="s">
        <v>228</v>
      </c>
      <c r="B9" s="27" t="s">
        <v>229</v>
      </c>
      <c r="C9" s="27" t="s">
        <v>230</v>
      </c>
      <c r="D9" s="34" t="s">
        <v>214</v>
      </c>
      <c r="E9" s="27" t="s">
        <v>231</v>
      </c>
      <c r="F9" s="27" t="s">
        <v>232</v>
      </c>
      <c r="G9" s="27" t="s">
        <v>233</v>
      </c>
      <c r="H9" s="32" t="s">
        <v>92</v>
      </c>
      <c r="I9" s="34" t="s">
        <v>44</v>
      </c>
      <c r="J9" s="27" t="s">
        <v>92</v>
      </c>
      <c r="K9" s="35" t="s">
        <v>92</v>
      </c>
      <c r="L9" s="32" t="s">
        <v>92</v>
      </c>
    </row>
    <row r="10" ht="56.4" customHeight="1" spans="1:12" x14ac:dyDescent="0.25">
      <c r="A10" s="23" t="s">
        <v>234</v>
      </c>
      <c r="B10" s="24" t="s">
        <v>235</v>
      </c>
      <c r="C10" s="24" t="s">
        <v>236</v>
      </c>
      <c r="D10" s="31" t="s">
        <v>214</v>
      </c>
      <c r="E10" s="24" t="s">
        <v>237</v>
      </c>
      <c r="F10" s="24" t="s">
        <v>238</v>
      </c>
      <c r="G10" s="24" t="s">
        <v>239</v>
      </c>
      <c r="H10" s="32" t="s">
        <v>92</v>
      </c>
      <c r="I10" s="31" t="s">
        <v>44</v>
      </c>
      <c r="J10" s="24" t="s">
        <v>92</v>
      </c>
      <c r="K10" s="33" t="s">
        <v>92</v>
      </c>
      <c r="L10" s="32" t="s">
        <v>92</v>
      </c>
    </row>
    <row r="11" ht="56.4" customHeight="1" spans="1:12" x14ac:dyDescent="0.25">
      <c r="A11" s="26" t="s">
        <v>240</v>
      </c>
      <c r="B11" s="27" t="s">
        <v>241</v>
      </c>
      <c r="C11" s="27" t="s">
        <v>242</v>
      </c>
      <c r="D11" s="34" t="s">
        <v>214</v>
      </c>
      <c r="E11" s="27" t="s">
        <v>243</v>
      </c>
      <c r="F11" s="27" t="s">
        <v>244</v>
      </c>
      <c r="G11" s="27" t="s">
        <v>245</v>
      </c>
      <c r="H11" s="32" t="s">
        <v>92</v>
      </c>
      <c r="I11" s="34" t="s">
        <v>44</v>
      </c>
      <c r="J11" s="27" t="s">
        <v>92</v>
      </c>
      <c r="K11" s="35" t="s">
        <v>92</v>
      </c>
      <c r="L11" s="32" t="s">
        <v>92</v>
      </c>
    </row>
    <row r="12" ht="43.8" customHeight="1" spans="1:12" x14ac:dyDescent="0.25">
      <c r="A12" s="23" t="s">
        <v>246</v>
      </c>
      <c r="B12" s="24" t="s">
        <v>247</v>
      </c>
      <c r="C12" s="24" t="s">
        <v>248</v>
      </c>
      <c r="D12" s="31" t="s">
        <v>214</v>
      </c>
      <c r="E12" s="24" t="s">
        <v>249</v>
      </c>
      <c r="F12" s="24" t="s">
        <v>250</v>
      </c>
      <c r="G12" s="24" t="s">
        <v>251</v>
      </c>
      <c r="H12" s="32" t="s">
        <v>92</v>
      </c>
      <c r="I12" s="31" t="s">
        <v>44</v>
      </c>
      <c r="J12" s="24" t="s">
        <v>92</v>
      </c>
      <c r="K12" s="33" t="s">
        <v>92</v>
      </c>
      <c r="L12" s="32" t="s">
        <v>92</v>
      </c>
    </row>
    <row r="13" ht="69" customHeight="1" spans="1:12" x14ac:dyDescent="0.25">
      <c r="A13" s="26" t="s">
        <v>252</v>
      </c>
      <c r="B13" s="27" t="s">
        <v>253</v>
      </c>
      <c r="C13" s="27" t="s">
        <v>254</v>
      </c>
      <c r="D13" s="34" t="s">
        <v>201</v>
      </c>
      <c r="E13" s="27" t="s">
        <v>255</v>
      </c>
      <c r="F13" s="27" t="s">
        <v>256</v>
      </c>
      <c r="G13" s="27" t="s">
        <v>257</v>
      </c>
      <c r="H13" s="32" t="s">
        <v>92</v>
      </c>
      <c r="I13" s="34" t="s">
        <v>44</v>
      </c>
      <c r="J13" s="27" t="s">
        <v>92</v>
      </c>
      <c r="K13" s="35" t="s">
        <v>92</v>
      </c>
      <c r="L13" s="32" t="s">
        <v>92</v>
      </c>
    </row>
    <row r="14" ht="43.8" customHeight="1" spans="1:12" x14ac:dyDescent="0.25">
      <c r="A14" s="23" t="s">
        <v>258</v>
      </c>
      <c r="B14" s="24" t="s">
        <v>259</v>
      </c>
      <c r="C14" s="24" t="s">
        <v>260</v>
      </c>
      <c r="D14" s="31" t="s">
        <v>214</v>
      </c>
      <c r="E14" s="24" t="s">
        <v>261</v>
      </c>
      <c r="F14" s="24" t="s">
        <v>262</v>
      </c>
      <c r="G14" s="24" t="s">
        <v>263</v>
      </c>
      <c r="H14" s="32" t="s">
        <v>92</v>
      </c>
      <c r="I14" s="31" t="s">
        <v>44</v>
      </c>
      <c r="J14" s="24" t="s">
        <v>92</v>
      </c>
      <c r="K14" s="33" t="s">
        <v>92</v>
      </c>
      <c r="L14" s="32" t="s">
        <v>92</v>
      </c>
    </row>
    <row r="15" ht="56.4" customHeight="1" spans="1:12" x14ac:dyDescent="0.25">
      <c r="A15" s="26" t="s">
        <v>264</v>
      </c>
      <c r="B15" s="27" t="s">
        <v>265</v>
      </c>
      <c r="C15" s="27" t="s">
        <v>266</v>
      </c>
      <c r="D15" s="34" t="s">
        <v>201</v>
      </c>
      <c r="E15" s="27" t="s">
        <v>267</v>
      </c>
      <c r="F15" s="27" t="s">
        <v>268</v>
      </c>
      <c r="G15" s="27" t="s">
        <v>269</v>
      </c>
      <c r="H15" s="32" t="s">
        <v>92</v>
      </c>
      <c r="I15" s="34" t="s">
        <v>44</v>
      </c>
      <c r="J15" s="27" t="s">
        <v>92</v>
      </c>
      <c r="K15" s="35" t="s">
        <v>92</v>
      </c>
      <c r="L15" s="32" t="s">
        <v>92</v>
      </c>
    </row>
    <row r="16" ht="69" customHeight="1" spans="1:12" x14ac:dyDescent="0.25">
      <c r="A16" s="23" t="s">
        <v>270</v>
      </c>
      <c r="B16" s="24" t="s">
        <v>271</v>
      </c>
      <c r="C16" s="24" t="s">
        <v>272</v>
      </c>
      <c r="D16" s="31" t="s">
        <v>214</v>
      </c>
      <c r="E16" s="24" t="s">
        <v>273</v>
      </c>
      <c r="F16" s="24" t="s">
        <v>274</v>
      </c>
      <c r="G16" s="24" t="s">
        <v>275</v>
      </c>
      <c r="H16" s="32" t="s">
        <v>92</v>
      </c>
      <c r="I16" s="31" t="s">
        <v>44</v>
      </c>
      <c r="J16" s="24" t="s">
        <v>92</v>
      </c>
      <c r="K16" s="33" t="s">
        <v>92</v>
      </c>
      <c r="L16" s="32" t="s">
        <v>92</v>
      </c>
    </row>
    <row r="17" ht="69" customHeight="1" spans="1:12" x14ac:dyDescent="0.25">
      <c r="A17" s="26" t="s">
        <v>276</v>
      </c>
      <c r="B17" s="27" t="s">
        <v>277</v>
      </c>
      <c r="C17" s="27" t="s">
        <v>278</v>
      </c>
      <c r="D17" s="34" t="s">
        <v>201</v>
      </c>
      <c r="E17" s="27" t="s">
        <v>279</v>
      </c>
      <c r="F17" s="27" t="s">
        <v>280</v>
      </c>
      <c r="G17" s="27" t="s">
        <v>281</v>
      </c>
      <c r="H17" s="32" t="s">
        <v>92</v>
      </c>
      <c r="I17" s="34" t="s">
        <v>44</v>
      </c>
      <c r="J17" s="27" t="s">
        <v>92</v>
      </c>
      <c r="K17" s="35" t="s">
        <v>92</v>
      </c>
      <c r="L17" s="32" t="s">
        <v>92</v>
      </c>
    </row>
  </sheetData>
  <autoFilter ref="A3:L17"/>
  <mergeCells count="2">
    <mergeCell ref="A1:L1"/>
    <mergeCell ref="A2:L2"/>
  </mergeCells>
  <conditionalFormatting sqref="I4:I17">
    <cfRule type="cellIs" dxfId="2" priority="1" operator="equal">
      <formula>"Pass"</formula>
    </cfRule>
    <cfRule type="cellIs" dxfId="3" priority="2" operator="equal">
      <formula>"Fail"</formula>
    </cfRule>
    <cfRule type="cellIs" dxfId="4" priority="3" operator="equal">
      <formula>"Blocked"</formula>
    </cfRule>
    <cfRule type="cellIs" dxfId="5" priority="4" operator="equal">
      <formula>"N/A"</formula>
    </cfRule>
    <cfRule type="cellIs" dxfId="6" priority="5" operator="equal">
      <formula>"Not run"</formula>
    </cfRule>
  </conditionalFormatting>
  <conditionalFormatting sqref="D4:D17">
    <cfRule type="cellIs" dxfId="7" priority="6" operator="equal">
      <formula>"High"</formula>
    </cfRule>
  </conditionalFormatting>
  <dataValidations count="2">
    <dataValidation type="list" allowBlank="1" sqref="D4:D17">
      <formula1>"High,Medium,Low"</formula1>
    </dataValidation>
    <dataValidation type="list" showErrorMessage="1" errorTitle="Pick a status" error="Use Not run, Pass, Fail, Blocked or N/A." sqref="I4:I17">
      <formula1>"Not run,Pass,Fail,Blocked,N/A"</formula1>
    </dataValidation>
  </dataValidations>
  <pageMargins left="0.3" right="0.3" top="0.4" bottom="0.4" header="0.2" footer="0.2"/>
  <pageSetup orientation="landscape" fitToWidth="1" fitToHeight="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L16"/>
  <sheetViews>
    <sheetView workbookViewId="0" showGridLines="0">
      <pane xSplit="1" ySplit="3" topLeftCell="B4" activePane="bottomRight" state="frozen"/>
      <selection pane="bottomRight"/>
    </sheetView>
  </sheetViews>
  <sheetFormatPr defaultRowHeight="15" outlineLevelRow="0" outlineLevelCol="0" x14ac:dyDescent="55"/>
  <cols>
    <col min="2" max="2" width="26" customWidth="1"/>
    <col min="3" max="3" width="34" customWidth="1"/>
    <col min="5" max="5" width="30" customWidth="1"/>
    <col min="6" max="6" width="56" customWidth="1"/>
    <col min="7" max="7" width="46" customWidth="1"/>
    <col min="8" max="8" width="26" customWidth="1"/>
    <col min="9" max="9" width="11" customWidth="1"/>
    <col min="10" max="10" width="13" customWidth="1"/>
    <col min="11" max="11" width="11" customWidth="1"/>
    <col min="12" max="12" width="24" customWidth="1"/>
  </cols>
  <sheetData>
    <row r="1" ht="26" customHeight="1" spans="1:12" x14ac:dyDescent="0.25">
      <c r="A1" s="1" t="s">
        <v>282</v>
      </c>
      <c r="B1" s="1"/>
      <c r="C1" s="1"/>
      <c r="D1" s="1"/>
      <c r="E1" s="1"/>
      <c r="F1" s="1"/>
      <c r="G1" s="1"/>
      <c r="H1" s="1"/>
      <c r="I1" s="1"/>
      <c r="J1" s="1"/>
      <c r="K1" s="1"/>
      <c r="L1" s="1"/>
    </row>
    <row r="2" ht="18" customHeight="1" spans="1:12" x14ac:dyDescent="0.25">
      <c r="A2" s="2" t="s">
        <v>283</v>
      </c>
      <c r="B2" s="2"/>
      <c r="C2" s="2"/>
      <c r="D2" s="2"/>
      <c r="E2" s="2"/>
      <c r="F2" s="2"/>
      <c r="G2" s="2"/>
      <c r="H2" s="2"/>
      <c r="I2" s="2"/>
      <c r="J2" s="2"/>
      <c r="K2" s="2"/>
      <c r="L2" s="2"/>
    </row>
    <row r="3" ht="24" customHeight="1" spans="1:12" x14ac:dyDescent="0.25">
      <c r="A3" s="7" t="s">
        <v>189</v>
      </c>
      <c r="B3" s="7" t="s">
        <v>190</v>
      </c>
      <c r="C3" s="7" t="s">
        <v>191</v>
      </c>
      <c r="D3" s="7" t="s">
        <v>54</v>
      </c>
      <c r="E3" s="7" t="s">
        <v>192</v>
      </c>
      <c r="F3" s="7" t="s">
        <v>193</v>
      </c>
      <c r="G3" s="7" t="s">
        <v>194</v>
      </c>
      <c r="H3" s="7" t="s">
        <v>195</v>
      </c>
      <c r="I3" s="7" t="s">
        <v>196</v>
      </c>
      <c r="J3" s="7" t="s">
        <v>14</v>
      </c>
      <c r="K3" s="7" t="s">
        <v>93</v>
      </c>
      <c r="L3" s="7" t="s">
        <v>197</v>
      </c>
    </row>
    <row r="4" ht="56.4" customHeight="1" spans="1:12" x14ac:dyDescent="0.25">
      <c r="A4" s="23" t="s">
        <v>284</v>
      </c>
      <c r="B4" s="24" t="s">
        <v>285</v>
      </c>
      <c r="C4" s="24" t="s">
        <v>286</v>
      </c>
      <c r="D4" s="31" t="s">
        <v>201</v>
      </c>
      <c r="E4" s="24" t="s">
        <v>287</v>
      </c>
      <c r="F4" s="24" t="s">
        <v>288</v>
      </c>
      <c r="G4" s="24" t="s">
        <v>289</v>
      </c>
      <c r="H4" s="32" t="s">
        <v>92</v>
      </c>
      <c r="I4" s="31" t="s">
        <v>44</v>
      </c>
      <c r="J4" s="24" t="s">
        <v>92</v>
      </c>
      <c r="K4" s="33" t="s">
        <v>92</v>
      </c>
      <c r="L4" s="32" t="s">
        <v>92</v>
      </c>
    </row>
    <row r="5" ht="81.6" customHeight="1" spans="1:12" x14ac:dyDescent="0.25">
      <c r="A5" s="26" t="s">
        <v>290</v>
      </c>
      <c r="B5" s="27" t="s">
        <v>291</v>
      </c>
      <c r="C5" s="27" t="s">
        <v>292</v>
      </c>
      <c r="D5" s="34" t="s">
        <v>201</v>
      </c>
      <c r="E5" s="27" t="s">
        <v>293</v>
      </c>
      <c r="F5" s="27" t="s">
        <v>294</v>
      </c>
      <c r="G5" s="27" t="s">
        <v>295</v>
      </c>
      <c r="H5" s="32" t="s">
        <v>92</v>
      </c>
      <c r="I5" s="34" t="s">
        <v>44</v>
      </c>
      <c r="J5" s="27" t="s">
        <v>92</v>
      </c>
      <c r="K5" s="35" t="s">
        <v>92</v>
      </c>
      <c r="L5" s="32" t="s">
        <v>92</v>
      </c>
    </row>
    <row r="6" ht="81.6" customHeight="1" spans="1:12" x14ac:dyDescent="0.25">
      <c r="A6" s="23" t="s">
        <v>296</v>
      </c>
      <c r="B6" s="24" t="s">
        <v>297</v>
      </c>
      <c r="C6" s="24" t="s">
        <v>298</v>
      </c>
      <c r="D6" s="31" t="s">
        <v>201</v>
      </c>
      <c r="E6" s="24" t="s">
        <v>299</v>
      </c>
      <c r="F6" s="24" t="s">
        <v>300</v>
      </c>
      <c r="G6" s="24" t="s">
        <v>301</v>
      </c>
      <c r="H6" s="32" t="s">
        <v>92</v>
      </c>
      <c r="I6" s="31" t="s">
        <v>44</v>
      </c>
      <c r="J6" s="24" t="s">
        <v>92</v>
      </c>
      <c r="K6" s="33" t="s">
        <v>92</v>
      </c>
      <c r="L6" s="32" t="s">
        <v>92</v>
      </c>
    </row>
    <row r="7" ht="56.4" customHeight="1" spans="1:12" x14ac:dyDescent="0.25">
      <c r="A7" s="26" t="s">
        <v>302</v>
      </c>
      <c r="B7" s="27" t="s">
        <v>297</v>
      </c>
      <c r="C7" s="27" t="s">
        <v>303</v>
      </c>
      <c r="D7" s="34" t="s">
        <v>201</v>
      </c>
      <c r="E7" s="27" t="s">
        <v>304</v>
      </c>
      <c r="F7" s="27" t="s">
        <v>305</v>
      </c>
      <c r="G7" s="27" t="s">
        <v>306</v>
      </c>
      <c r="H7" s="32" t="s">
        <v>92</v>
      </c>
      <c r="I7" s="34" t="s">
        <v>44</v>
      </c>
      <c r="J7" s="27" t="s">
        <v>92</v>
      </c>
      <c r="K7" s="35" t="s">
        <v>92</v>
      </c>
      <c r="L7" s="32" t="s">
        <v>92</v>
      </c>
    </row>
    <row r="8" ht="69" customHeight="1" spans="1:12" x14ac:dyDescent="0.25">
      <c r="A8" s="23" t="s">
        <v>307</v>
      </c>
      <c r="B8" s="24" t="s">
        <v>297</v>
      </c>
      <c r="C8" s="24" t="s">
        <v>308</v>
      </c>
      <c r="D8" s="31" t="s">
        <v>201</v>
      </c>
      <c r="E8" s="24" t="s">
        <v>309</v>
      </c>
      <c r="F8" s="24" t="s">
        <v>310</v>
      </c>
      <c r="G8" s="24" t="s">
        <v>311</v>
      </c>
      <c r="H8" s="32" t="s">
        <v>92</v>
      </c>
      <c r="I8" s="31" t="s">
        <v>44</v>
      </c>
      <c r="J8" s="24" t="s">
        <v>92</v>
      </c>
      <c r="K8" s="33" t="s">
        <v>92</v>
      </c>
      <c r="L8" s="32" t="s">
        <v>92</v>
      </c>
    </row>
    <row r="9" ht="43.8" customHeight="1" spans="1:12" x14ac:dyDescent="0.25">
      <c r="A9" s="26" t="s">
        <v>312</v>
      </c>
      <c r="B9" s="27" t="s">
        <v>297</v>
      </c>
      <c r="C9" s="27" t="s">
        <v>313</v>
      </c>
      <c r="D9" s="34" t="s">
        <v>214</v>
      </c>
      <c r="E9" s="27" t="s">
        <v>314</v>
      </c>
      <c r="F9" s="27" t="s">
        <v>315</v>
      </c>
      <c r="G9" s="27" t="s">
        <v>316</v>
      </c>
      <c r="H9" s="32" t="s">
        <v>92</v>
      </c>
      <c r="I9" s="34" t="s">
        <v>44</v>
      </c>
      <c r="J9" s="27" t="s">
        <v>92</v>
      </c>
      <c r="K9" s="35" t="s">
        <v>92</v>
      </c>
      <c r="L9" s="32" t="s">
        <v>92</v>
      </c>
    </row>
    <row r="10" ht="56.4" customHeight="1" spans="1:12" x14ac:dyDescent="0.25">
      <c r="A10" s="23" t="s">
        <v>317</v>
      </c>
      <c r="B10" s="24" t="s">
        <v>297</v>
      </c>
      <c r="C10" s="24" t="s">
        <v>318</v>
      </c>
      <c r="D10" s="31" t="s">
        <v>201</v>
      </c>
      <c r="E10" s="24" t="s">
        <v>319</v>
      </c>
      <c r="F10" s="24" t="s">
        <v>320</v>
      </c>
      <c r="G10" s="24" t="s">
        <v>321</v>
      </c>
      <c r="H10" s="32" t="s">
        <v>92</v>
      </c>
      <c r="I10" s="31" t="s">
        <v>44</v>
      </c>
      <c r="J10" s="24" t="s">
        <v>92</v>
      </c>
      <c r="K10" s="33" t="s">
        <v>92</v>
      </c>
      <c r="L10" s="32" t="s">
        <v>92</v>
      </c>
    </row>
    <row r="11" ht="56.4" customHeight="1" spans="1:12" x14ac:dyDescent="0.25">
      <c r="A11" s="26" t="s">
        <v>322</v>
      </c>
      <c r="B11" s="27" t="s">
        <v>297</v>
      </c>
      <c r="C11" s="27" t="s">
        <v>323</v>
      </c>
      <c r="D11" s="34" t="s">
        <v>201</v>
      </c>
      <c r="E11" s="27" t="s">
        <v>324</v>
      </c>
      <c r="F11" s="27" t="s">
        <v>325</v>
      </c>
      <c r="G11" s="27" t="s">
        <v>326</v>
      </c>
      <c r="H11" s="32" t="s">
        <v>92</v>
      </c>
      <c r="I11" s="34" t="s">
        <v>44</v>
      </c>
      <c r="J11" s="27" t="s">
        <v>92</v>
      </c>
      <c r="K11" s="35" t="s">
        <v>92</v>
      </c>
      <c r="L11" s="32" t="s">
        <v>92</v>
      </c>
    </row>
    <row r="12" ht="69" customHeight="1" spans="1:12" x14ac:dyDescent="0.25">
      <c r="A12" s="23" t="s">
        <v>327</v>
      </c>
      <c r="B12" s="24" t="s">
        <v>297</v>
      </c>
      <c r="C12" s="24" t="s">
        <v>328</v>
      </c>
      <c r="D12" s="31" t="s">
        <v>214</v>
      </c>
      <c r="E12" s="24" t="s">
        <v>329</v>
      </c>
      <c r="F12" s="24" t="s">
        <v>330</v>
      </c>
      <c r="G12" s="24" t="s">
        <v>331</v>
      </c>
      <c r="H12" s="32" t="s">
        <v>92</v>
      </c>
      <c r="I12" s="31" t="s">
        <v>44</v>
      </c>
      <c r="J12" s="24" t="s">
        <v>92</v>
      </c>
      <c r="K12" s="33" t="s">
        <v>92</v>
      </c>
      <c r="L12" s="32" t="s">
        <v>92</v>
      </c>
    </row>
    <row r="13" ht="81.6" customHeight="1" spans="1:12" x14ac:dyDescent="0.25">
      <c r="A13" s="26" t="s">
        <v>332</v>
      </c>
      <c r="B13" s="27" t="s">
        <v>333</v>
      </c>
      <c r="C13" s="27" t="s">
        <v>334</v>
      </c>
      <c r="D13" s="34" t="s">
        <v>201</v>
      </c>
      <c r="E13" s="27" t="s">
        <v>335</v>
      </c>
      <c r="F13" s="27" t="s">
        <v>336</v>
      </c>
      <c r="G13" s="27" t="s">
        <v>337</v>
      </c>
      <c r="H13" s="32" t="s">
        <v>92</v>
      </c>
      <c r="I13" s="34" t="s">
        <v>44</v>
      </c>
      <c r="J13" s="27" t="s">
        <v>92</v>
      </c>
      <c r="K13" s="35" t="s">
        <v>92</v>
      </c>
      <c r="L13" s="32" t="s">
        <v>92</v>
      </c>
    </row>
    <row r="14" ht="43.8" customHeight="1" spans="1:12" x14ac:dyDescent="0.25">
      <c r="A14" s="23" t="s">
        <v>338</v>
      </c>
      <c r="B14" s="24" t="s">
        <v>333</v>
      </c>
      <c r="C14" s="24" t="s">
        <v>339</v>
      </c>
      <c r="D14" s="31" t="s">
        <v>214</v>
      </c>
      <c r="E14" s="24" t="s">
        <v>340</v>
      </c>
      <c r="F14" s="24" t="s">
        <v>341</v>
      </c>
      <c r="G14" s="24" t="s">
        <v>342</v>
      </c>
      <c r="H14" s="32" t="s">
        <v>92</v>
      </c>
      <c r="I14" s="31" t="s">
        <v>44</v>
      </c>
      <c r="J14" s="24" t="s">
        <v>92</v>
      </c>
      <c r="K14" s="33" t="s">
        <v>92</v>
      </c>
      <c r="L14" s="32" t="s">
        <v>92</v>
      </c>
    </row>
    <row r="15" ht="56.4" customHeight="1" spans="1:12" x14ac:dyDescent="0.25">
      <c r="A15" s="26" t="s">
        <v>343</v>
      </c>
      <c r="B15" s="27" t="s">
        <v>344</v>
      </c>
      <c r="C15" s="27" t="s">
        <v>345</v>
      </c>
      <c r="D15" s="34" t="s">
        <v>214</v>
      </c>
      <c r="E15" s="27" t="s">
        <v>346</v>
      </c>
      <c r="F15" s="27" t="s">
        <v>347</v>
      </c>
      <c r="G15" s="27" t="s">
        <v>348</v>
      </c>
      <c r="H15" s="32" t="s">
        <v>92</v>
      </c>
      <c r="I15" s="34" t="s">
        <v>44</v>
      </c>
      <c r="J15" s="27" t="s">
        <v>92</v>
      </c>
      <c r="K15" s="35" t="s">
        <v>92</v>
      </c>
      <c r="L15" s="32" t="s">
        <v>92</v>
      </c>
    </row>
    <row r="16" ht="69" customHeight="1" spans="1:12" x14ac:dyDescent="0.25">
      <c r="A16" s="23" t="s">
        <v>349</v>
      </c>
      <c r="B16" s="24" t="s">
        <v>350</v>
      </c>
      <c r="C16" s="24" t="s">
        <v>351</v>
      </c>
      <c r="D16" s="31" t="s">
        <v>201</v>
      </c>
      <c r="E16" s="24" t="s">
        <v>352</v>
      </c>
      <c r="F16" s="24" t="s">
        <v>353</v>
      </c>
      <c r="G16" s="24" t="s">
        <v>354</v>
      </c>
      <c r="H16" s="32" t="s">
        <v>92</v>
      </c>
      <c r="I16" s="31" t="s">
        <v>44</v>
      </c>
      <c r="J16" s="24" t="s">
        <v>92</v>
      </c>
      <c r="K16" s="33" t="s">
        <v>92</v>
      </c>
      <c r="L16" s="32" t="s">
        <v>92</v>
      </c>
    </row>
  </sheetData>
  <autoFilter ref="A3:L16"/>
  <mergeCells count="2">
    <mergeCell ref="A1:L1"/>
    <mergeCell ref="A2:L2"/>
  </mergeCells>
  <conditionalFormatting sqref="I4:I16">
    <cfRule type="cellIs" dxfId="8" priority="1" operator="equal">
      <formula>"Pass"</formula>
    </cfRule>
    <cfRule type="cellIs" dxfId="9" priority="2" operator="equal">
      <formula>"Fail"</formula>
    </cfRule>
    <cfRule type="cellIs" dxfId="10" priority="3" operator="equal">
      <formula>"Blocked"</formula>
    </cfRule>
    <cfRule type="cellIs" dxfId="11" priority="4" operator="equal">
      <formula>"N/A"</formula>
    </cfRule>
    <cfRule type="cellIs" dxfId="12" priority="5" operator="equal">
      <formula>"Not run"</formula>
    </cfRule>
  </conditionalFormatting>
  <conditionalFormatting sqref="D4:D16">
    <cfRule type="cellIs" dxfId="13" priority="6" operator="equal">
      <formula>"High"</formula>
    </cfRule>
  </conditionalFormatting>
  <dataValidations count="2">
    <dataValidation type="list" allowBlank="1" sqref="D4:D16">
      <formula1>"High,Medium,Low"</formula1>
    </dataValidation>
    <dataValidation type="list" showErrorMessage="1" errorTitle="Pick a status" error="Use Not run, Pass, Fail, Blocked or N/A." sqref="I4:I16">
      <formula1>"Not run,Pass,Fail,Blocked,N/A"</formula1>
    </dataValidation>
  </dataValidations>
  <pageMargins left="0.3" right="0.3" top="0.4" bottom="0.4" header="0.2" footer="0.2"/>
  <pageSetup orientation="landscape" fitToWidth="1" fitToHeight="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L11"/>
  <sheetViews>
    <sheetView workbookViewId="0" showGridLines="0">
      <pane xSplit="1" ySplit="3" topLeftCell="B4" activePane="bottomRight" state="frozen"/>
      <selection pane="bottomRight"/>
    </sheetView>
  </sheetViews>
  <sheetFormatPr defaultRowHeight="15" outlineLevelRow="0" outlineLevelCol="0" x14ac:dyDescent="55"/>
  <cols>
    <col min="2" max="2" width="26" customWidth="1"/>
    <col min="3" max="3" width="34" customWidth="1"/>
    <col min="5" max="5" width="30" customWidth="1"/>
    <col min="6" max="6" width="56" customWidth="1"/>
    <col min="7" max="7" width="46" customWidth="1"/>
    <col min="8" max="8" width="26" customWidth="1"/>
    <col min="9" max="9" width="11" customWidth="1"/>
    <col min="10" max="10" width="13" customWidth="1"/>
    <col min="11" max="11" width="11" customWidth="1"/>
    <col min="12" max="12" width="24" customWidth="1"/>
  </cols>
  <sheetData>
    <row r="1" ht="26" customHeight="1" spans="1:12" x14ac:dyDescent="0.25">
      <c r="A1" s="1" t="s">
        <v>355</v>
      </c>
      <c r="B1" s="1"/>
      <c r="C1" s="1"/>
      <c r="D1" s="1"/>
      <c r="E1" s="1"/>
      <c r="F1" s="1"/>
      <c r="G1" s="1"/>
      <c r="H1" s="1"/>
      <c r="I1" s="1"/>
      <c r="J1" s="1"/>
      <c r="K1" s="1"/>
      <c r="L1" s="1"/>
    </row>
    <row r="2" ht="18" customHeight="1" spans="1:12" x14ac:dyDescent="0.25">
      <c r="A2" s="2" t="s">
        <v>356</v>
      </c>
      <c r="B2" s="2"/>
      <c r="C2" s="2"/>
      <c r="D2" s="2"/>
      <c r="E2" s="2"/>
      <c r="F2" s="2"/>
      <c r="G2" s="2"/>
      <c r="H2" s="2"/>
      <c r="I2" s="2"/>
      <c r="J2" s="2"/>
      <c r="K2" s="2"/>
      <c r="L2" s="2"/>
    </row>
    <row r="3" ht="24" customHeight="1" spans="1:12" x14ac:dyDescent="0.25">
      <c r="A3" s="7" t="s">
        <v>189</v>
      </c>
      <c r="B3" s="7" t="s">
        <v>190</v>
      </c>
      <c r="C3" s="7" t="s">
        <v>191</v>
      </c>
      <c r="D3" s="7" t="s">
        <v>54</v>
      </c>
      <c r="E3" s="7" t="s">
        <v>192</v>
      </c>
      <c r="F3" s="7" t="s">
        <v>193</v>
      </c>
      <c r="G3" s="7" t="s">
        <v>194</v>
      </c>
      <c r="H3" s="7" t="s">
        <v>195</v>
      </c>
      <c r="I3" s="7" t="s">
        <v>196</v>
      </c>
      <c r="J3" s="7" t="s">
        <v>14</v>
      </c>
      <c r="K3" s="7" t="s">
        <v>93</v>
      </c>
      <c r="L3" s="7" t="s">
        <v>197</v>
      </c>
    </row>
    <row r="4" ht="69" customHeight="1" spans="1:12" x14ac:dyDescent="0.25">
      <c r="A4" s="23" t="s">
        <v>357</v>
      </c>
      <c r="B4" s="24" t="s">
        <v>358</v>
      </c>
      <c r="C4" s="24" t="s">
        <v>359</v>
      </c>
      <c r="D4" s="31" t="s">
        <v>201</v>
      </c>
      <c r="E4" s="24" t="s">
        <v>360</v>
      </c>
      <c r="F4" s="24" t="s">
        <v>361</v>
      </c>
      <c r="G4" s="24" t="s">
        <v>362</v>
      </c>
      <c r="H4" s="32" t="s">
        <v>92</v>
      </c>
      <c r="I4" s="31" t="s">
        <v>44</v>
      </c>
      <c r="J4" s="24" t="s">
        <v>92</v>
      </c>
      <c r="K4" s="33" t="s">
        <v>92</v>
      </c>
      <c r="L4" s="32" t="s">
        <v>92</v>
      </c>
    </row>
    <row r="5" ht="43.8" customHeight="1" spans="1:12" x14ac:dyDescent="0.25">
      <c r="A5" s="26" t="s">
        <v>363</v>
      </c>
      <c r="B5" s="27" t="s">
        <v>364</v>
      </c>
      <c r="C5" s="27" t="s">
        <v>365</v>
      </c>
      <c r="D5" s="34" t="s">
        <v>201</v>
      </c>
      <c r="E5" s="27" t="s">
        <v>366</v>
      </c>
      <c r="F5" s="27" t="s">
        <v>367</v>
      </c>
      <c r="G5" s="27" t="s">
        <v>368</v>
      </c>
      <c r="H5" s="32" t="s">
        <v>92</v>
      </c>
      <c r="I5" s="34" t="s">
        <v>44</v>
      </c>
      <c r="J5" s="27" t="s">
        <v>92</v>
      </c>
      <c r="K5" s="35" t="s">
        <v>92</v>
      </c>
      <c r="L5" s="32" t="s">
        <v>92</v>
      </c>
    </row>
    <row r="6" ht="56.4" customHeight="1" spans="1:12" x14ac:dyDescent="0.25">
      <c r="A6" s="23" t="s">
        <v>369</v>
      </c>
      <c r="B6" s="24" t="s">
        <v>370</v>
      </c>
      <c r="C6" s="24" t="s">
        <v>371</v>
      </c>
      <c r="D6" s="31" t="s">
        <v>201</v>
      </c>
      <c r="E6" s="24" t="s">
        <v>372</v>
      </c>
      <c r="F6" s="24" t="s">
        <v>373</v>
      </c>
      <c r="G6" s="24" t="s">
        <v>374</v>
      </c>
      <c r="H6" s="32" t="s">
        <v>92</v>
      </c>
      <c r="I6" s="31" t="s">
        <v>44</v>
      </c>
      <c r="J6" s="24" t="s">
        <v>92</v>
      </c>
      <c r="K6" s="33" t="s">
        <v>92</v>
      </c>
      <c r="L6" s="32" t="s">
        <v>92</v>
      </c>
    </row>
    <row r="7" ht="69" customHeight="1" spans="1:12" x14ac:dyDescent="0.25">
      <c r="A7" s="26" t="s">
        <v>375</v>
      </c>
      <c r="B7" s="27" t="s">
        <v>376</v>
      </c>
      <c r="C7" s="27" t="s">
        <v>377</v>
      </c>
      <c r="D7" s="34" t="s">
        <v>201</v>
      </c>
      <c r="E7" s="27" t="s">
        <v>378</v>
      </c>
      <c r="F7" s="27" t="s">
        <v>379</v>
      </c>
      <c r="G7" s="27" t="s">
        <v>380</v>
      </c>
      <c r="H7" s="32" t="s">
        <v>92</v>
      </c>
      <c r="I7" s="34" t="s">
        <v>44</v>
      </c>
      <c r="J7" s="27" t="s">
        <v>92</v>
      </c>
      <c r="K7" s="35" t="s">
        <v>92</v>
      </c>
      <c r="L7" s="32" t="s">
        <v>92</v>
      </c>
    </row>
    <row r="8" ht="81.6" customHeight="1" spans="1:12" x14ac:dyDescent="0.25">
      <c r="A8" s="23" t="s">
        <v>381</v>
      </c>
      <c r="B8" s="24" t="s">
        <v>382</v>
      </c>
      <c r="C8" s="24" t="s">
        <v>383</v>
      </c>
      <c r="D8" s="31" t="s">
        <v>201</v>
      </c>
      <c r="E8" s="24" t="s">
        <v>372</v>
      </c>
      <c r="F8" s="24" t="s">
        <v>384</v>
      </c>
      <c r="G8" s="24" t="s">
        <v>385</v>
      </c>
      <c r="H8" s="32" t="s">
        <v>92</v>
      </c>
      <c r="I8" s="31" t="s">
        <v>44</v>
      </c>
      <c r="J8" s="24" t="s">
        <v>92</v>
      </c>
      <c r="K8" s="33" t="s">
        <v>92</v>
      </c>
      <c r="L8" s="32" t="s">
        <v>92</v>
      </c>
    </row>
    <row r="9" ht="56.4" customHeight="1" spans="1:12" x14ac:dyDescent="0.25">
      <c r="A9" s="26" t="s">
        <v>386</v>
      </c>
      <c r="B9" s="27" t="s">
        <v>387</v>
      </c>
      <c r="C9" s="27" t="s">
        <v>388</v>
      </c>
      <c r="D9" s="34" t="s">
        <v>201</v>
      </c>
      <c r="E9" s="27" t="s">
        <v>389</v>
      </c>
      <c r="F9" s="27" t="s">
        <v>390</v>
      </c>
      <c r="G9" s="27" t="s">
        <v>391</v>
      </c>
      <c r="H9" s="32" t="s">
        <v>92</v>
      </c>
      <c r="I9" s="34" t="s">
        <v>44</v>
      </c>
      <c r="J9" s="27" t="s">
        <v>92</v>
      </c>
      <c r="K9" s="35" t="s">
        <v>92</v>
      </c>
      <c r="L9" s="32" t="s">
        <v>92</v>
      </c>
    </row>
    <row r="10" ht="43.8" customHeight="1" spans="1:12" x14ac:dyDescent="0.25">
      <c r="A10" s="23" t="s">
        <v>392</v>
      </c>
      <c r="B10" s="24" t="s">
        <v>393</v>
      </c>
      <c r="C10" s="24" t="s">
        <v>394</v>
      </c>
      <c r="D10" s="31" t="s">
        <v>201</v>
      </c>
      <c r="E10" s="24" t="s">
        <v>395</v>
      </c>
      <c r="F10" s="24" t="s">
        <v>396</v>
      </c>
      <c r="G10" s="24" t="s">
        <v>397</v>
      </c>
      <c r="H10" s="32" t="s">
        <v>92</v>
      </c>
      <c r="I10" s="31" t="s">
        <v>44</v>
      </c>
      <c r="J10" s="24" t="s">
        <v>92</v>
      </c>
      <c r="K10" s="33" t="s">
        <v>92</v>
      </c>
      <c r="L10" s="32" t="s">
        <v>92</v>
      </c>
    </row>
    <row r="11" ht="81.6" customHeight="1" spans="1:12" x14ac:dyDescent="0.25">
      <c r="A11" s="26" t="s">
        <v>398</v>
      </c>
      <c r="B11" s="27" t="s">
        <v>399</v>
      </c>
      <c r="C11" s="27" t="s">
        <v>400</v>
      </c>
      <c r="D11" s="34" t="s">
        <v>201</v>
      </c>
      <c r="E11" s="27" t="s">
        <v>401</v>
      </c>
      <c r="F11" s="27" t="s">
        <v>402</v>
      </c>
      <c r="G11" s="27" t="s">
        <v>403</v>
      </c>
      <c r="H11" s="32" t="s">
        <v>92</v>
      </c>
      <c r="I11" s="34" t="s">
        <v>44</v>
      </c>
      <c r="J11" s="27" t="s">
        <v>92</v>
      </c>
      <c r="K11" s="35" t="s">
        <v>92</v>
      </c>
      <c r="L11" s="32" t="s">
        <v>92</v>
      </c>
    </row>
  </sheetData>
  <autoFilter ref="A3:L11"/>
  <mergeCells count="2">
    <mergeCell ref="A1:L1"/>
    <mergeCell ref="A2:L2"/>
  </mergeCells>
  <conditionalFormatting sqref="I4:I11">
    <cfRule type="cellIs" dxfId="14" priority="1" operator="equal">
      <formula>"Pass"</formula>
    </cfRule>
    <cfRule type="cellIs" dxfId="15" priority="2" operator="equal">
      <formula>"Fail"</formula>
    </cfRule>
    <cfRule type="cellIs" dxfId="16" priority="3" operator="equal">
      <formula>"Blocked"</formula>
    </cfRule>
    <cfRule type="cellIs" dxfId="17" priority="4" operator="equal">
      <formula>"N/A"</formula>
    </cfRule>
    <cfRule type="cellIs" dxfId="18" priority="5" operator="equal">
      <formula>"Not run"</formula>
    </cfRule>
  </conditionalFormatting>
  <conditionalFormatting sqref="D4:D11">
    <cfRule type="cellIs" dxfId="19" priority="6" operator="equal">
      <formula>"High"</formula>
    </cfRule>
  </conditionalFormatting>
  <dataValidations count="2">
    <dataValidation type="list" allowBlank="1" sqref="D4:D11">
      <formula1>"High,Medium,Low"</formula1>
    </dataValidation>
    <dataValidation type="list" showErrorMessage="1" errorTitle="Pick a status" error="Use Not run, Pass, Fail, Blocked or N/A." sqref="I4:I11">
      <formula1>"Not run,Pass,Fail,Blocked,N/A"</formula1>
    </dataValidation>
  </dataValidations>
  <pageMargins left="0.3" right="0.3" top="0.4" bottom="0.4" header="0.2" footer="0.2"/>
  <pageSetup orientation="landscape" fitToWidth="1" fitToHeight="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L11"/>
  <sheetViews>
    <sheetView workbookViewId="0" showGridLines="0">
      <pane xSplit="1" ySplit="3" topLeftCell="B4" activePane="bottomRight" state="frozen"/>
      <selection pane="bottomRight"/>
    </sheetView>
  </sheetViews>
  <sheetFormatPr defaultRowHeight="15" outlineLevelRow="0" outlineLevelCol="0" x14ac:dyDescent="55"/>
  <cols>
    <col min="2" max="2" width="26" customWidth="1"/>
    <col min="3" max="3" width="34" customWidth="1"/>
    <col min="5" max="5" width="30" customWidth="1"/>
    <col min="6" max="6" width="56" customWidth="1"/>
    <col min="7" max="7" width="46" customWidth="1"/>
    <col min="8" max="8" width="26" customWidth="1"/>
    <col min="9" max="9" width="11" customWidth="1"/>
    <col min="10" max="10" width="13" customWidth="1"/>
    <col min="11" max="11" width="11" customWidth="1"/>
    <col min="12" max="12" width="24" customWidth="1"/>
  </cols>
  <sheetData>
    <row r="1" ht="26" customHeight="1" spans="1:12" x14ac:dyDescent="0.25">
      <c r="A1" s="1" t="s">
        <v>404</v>
      </c>
      <c r="B1" s="1"/>
      <c r="C1" s="1"/>
      <c r="D1" s="1"/>
      <c r="E1" s="1"/>
      <c r="F1" s="1"/>
      <c r="G1" s="1"/>
      <c r="H1" s="1"/>
      <c r="I1" s="1"/>
      <c r="J1" s="1"/>
      <c r="K1" s="1"/>
      <c r="L1" s="1"/>
    </row>
    <row r="2" ht="18" customHeight="1" spans="1:12" x14ac:dyDescent="0.25">
      <c r="A2" s="2" t="s">
        <v>405</v>
      </c>
      <c r="B2" s="2"/>
      <c r="C2" s="2"/>
      <c r="D2" s="2"/>
      <c r="E2" s="2"/>
      <c r="F2" s="2"/>
      <c r="G2" s="2"/>
      <c r="H2" s="2"/>
      <c r="I2" s="2"/>
      <c r="J2" s="2"/>
      <c r="K2" s="2"/>
      <c r="L2" s="2"/>
    </row>
    <row r="3" ht="24" customHeight="1" spans="1:12" x14ac:dyDescent="0.25">
      <c r="A3" s="7" t="s">
        <v>189</v>
      </c>
      <c r="B3" s="7" t="s">
        <v>190</v>
      </c>
      <c r="C3" s="7" t="s">
        <v>191</v>
      </c>
      <c r="D3" s="7" t="s">
        <v>54</v>
      </c>
      <c r="E3" s="7" t="s">
        <v>192</v>
      </c>
      <c r="F3" s="7" t="s">
        <v>193</v>
      </c>
      <c r="G3" s="7" t="s">
        <v>194</v>
      </c>
      <c r="H3" s="7" t="s">
        <v>195</v>
      </c>
      <c r="I3" s="7" t="s">
        <v>196</v>
      </c>
      <c r="J3" s="7" t="s">
        <v>14</v>
      </c>
      <c r="K3" s="7" t="s">
        <v>93</v>
      </c>
      <c r="L3" s="7" t="s">
        <v>197</v>
      </c>
    </row>
    <row r="4" ht="69" customHeight="1" spans="1:12" x14ac:dyDescent="0.25">
      <c r="A4" s="23" t="s">
        <v>406</v>
      </c>
      <c r="B4" s="24" t="s">
        <v>407</v>
      </c>
      <c r="C4" s="24" t="s">
        <v>408</v>
      </c>
      <c r="D4" s="31" t="s">
        <v>201</v>
      </c>
      <c r="E4" s="24" t="s">
        <v>409</v>
      </c>
      <c r="F4" s="24" t="s">
        <v>410</v>
      </c>
      <c r="G4" s="24" t="s">
        <v>411</v>
      </c>
      <c r="H4" s="32" t="s">
        <v>92</v>
      </c>
      <c r="I4" s="31" t="s">
        <v>44</v>
      </c>
      <c r="J4" s="24" t="s">
        <v>92</v>
      </c>
      <c r="K4" s="33" t="s">
        <v>92</v>
      </c>
      <c r="L4" s="32" t="s">
        <v>92</v>
      </c>
    </row>
    <row r="5" ht="81.6" customHeight="1" spans="1:12" x14ac:dyDescent="0.25">
      <c r="A5" s="26" t="s">
        <v>412</v>
      </c>
      <c r="B5" s="27" t="s">
        <v>413</v>
      </c>
      <c r="C5" s="27" t="s">
        <v>414</v>
      </c>
      <c r="D5" s="34" t="s">
        <v>201</v>
      </c>
      <c r="E5" s="27" t="s">
        <v>415</v>
      </c>
      <c r="F5" s="27" t="s">
        <v>416</v>
      </c>
      <c r="G5" s="27" t="s">
        <v>417</v>
      </c>
      <c r="H5" s="32" t="s">
        <v>92</v>
      </c>
      <c r="I5" s="34" t="s">
        <v>44</v>
      </c>
      <c r="J5" s="27" t="s">
        <v>92</v>
      </c>
      <c r="K5" s="35" t="s">
        <v>92</v>
      </c>
      <c r="L5" s="32" t="s">
        <v>92</v>
      </c>
    </row>
    <row r="6" ht="56.4" customHeight="1" spans="1:12" x14ac:dyDescent="0.25">
      <c r="A6" s="23" t="s">
        <v>418</v>
      </c>
      <c r="B6" s="24" t="s">
        <v>419</v>
      </c>
      <c r="C6" s="24" t="s">
        <v>420</v>
      </c>
      <c r="D6" s="31" t="s">
        <v>201</v>
      </c>
      <c r="E6" s="24" t="s">
        <v>421</v>
      </c>
      <c r="F6" s="24" t="s">
        <v>422</v>
      </c>
      <c r="G6" s="24" t="s">
        <v>423</v>
      </c>
      <c r="H6" s="32" t="s">
        <v>92</v>
      </c>
      <c r="I6" s="31" t="s">
        <v>44</v>
      </c>
      <c r="J6" s="24" t="s">
        <v>92</v>
      </c>
      <c r="K6" s="33" t="s">
        <v>92</v>
      </c>
      <c r="L6" s="32" t="s">
        <v>92</v>
      </c>
    </row>
    <row r="7" ht="56.4" customHeight="1" spans="1:12" x14ac:dyDescent="0.25">
      <c r="A7" s="26" t="s">
        <v>424</v>
      </c>
      <c r="B7" s="27" t="s">
        <v>425</v>
      </c>
      <c r="C7" s="27" t="s">
        <v>426</v>
      </c>
      <c r="D7" s="34" t="s">
        <v>201</v>
      </c>
      <c r="E7" s="27" t="s">
        <v>421</v>
      </c>
      <c r="F7" s="27" t="s">
        <v>427</v>
      </c>
      <c r="G7" s="27" t="s">
        <v>428</v>
      </c>
      <c r="H7" s="32" t="s">
        <v>92</v>
      </c>
      <c r="I7" s="34" t="s">
        <v>44</v>
      </c>
      <c r="J7" s="27" t="s">
        <v>92</v>
      </c>
      <c r="K7" s="35" t="s">
        <v>92</v>
      </c>
      <c r="L7" s="32" t="s">
        <v>92</v>
      </c>
    </row>
    <row r="8" ht="43.8" customHeight="1" spans="1:12" x14ac:dyDescent="0.25">
      <c r="A8" s="23" t="s">
        <v>429</v>
      </c>
      <c r="B8" s="24" t="s">
        <v>430</v>
      </c>
      <c r="C8" s="24" t="s">
        <v>431</v>
      </c>
      <c r="D8" s="31" t="s">
        <v>214</v>
      </c>
      <c r="E8" s="24" t="s">
        <v>432</v>
      </c>
      <c r="F8" s="24" t="s">
        <v>433</v>
      </c>
      <c r="G8" s="24" t="s">
        <v>434</v>
      </c>
      <c r="H8" s="32" t="s">
        <v>92</v>
      </c>
      <c r="I8" s="31" t="s">
        <v>44</v>
      </c>
      <c r="J8" s="24" t="s">
        <v>92</v>
      </c>
      <c r="K8" s="33" t="s">
        <v>92</v>
      </c>
      <c r="L8" s="32" t="s">
        <v>92</v>
      </c>
    </row>
    <row r="9" ht="81.6" customHeight="1" spans="1:12" x14ac:dyDescent="0.25">
      <c r="A9" s="26" t="s">
        <v>435</v>
      </c>
      <c r="B9" s="27" t="s">
        <v>436</v>
      </c>
      <c r="C9" s="27" t="s">
        <v>437</v>
      </c>
      <c r="D9" s="34" t="s">
        <v>201</v>
      </c>
      <c r="E9" s="27" t="s">
        <v>438</v>
      </c>
      <c r="F9" s="27" t="s">
        <v>439</v>
      </c>
      <c r="G9" s="27" t="s">
        <v>440</v>
      </c>
      <c r="H9" s="32" t="s">
        <v>92</v>
      </c>
      <c r="I9" s="34" t="s">
        <v>44</v>
      </c>
      <c r="J9" s="27" t="s">
        <v>92</v>
      </c>
      <c r="K9" s="35" t="s">
        <v>92</v>
      </c>
      <c r="L9" s="32" t="s">
        <v>92</v>
      </c>
    </row>
    <row r="10" ht="69" customHeight="1" spans="1:12" x14ac:dyDescent="0.25">
      <c r="A10" s="23" t="s">
        <v>441</v>
      </c>
      <c r="B10" s="24" t="s">
        <v>442</v>
      </c>
      <c r="C10" s="24" t="s">
        <v>443</v>
      </c>
      <c r="D10" s="31" t="s">
        <v>201</v>
      </c>
      <c r="E10" s="24" t="s">
        <v>444</v>
      </c>
      <c r="F10" s="24" t="s">
        <v>445</v>
      </c>
      <c r="G10" s="24" t="s">
        <v>446</v>
      </c>
      <c r="H10" s="32" t="s">
        <v>92</v>
      </c>
      <c r="I10" s="31" t="s">
        <v>44</v>
      </c>
      <c r="J10" s="24" t="s">
        <v>92</v>
      </c>
      <c r="K10" s="33" t="s">
        <v>92</v>
      </c>
      <c r="L10" s="32" t="s">
        <v>92</v>
      </c>
    </row>
    <row r="11" ht="56.4" customHeight="1" spans="1:12" x14ac:dyDescent="0.25">
      <c r="A11" s="26" t="s">
        <v>447</v>
      </c>
      <c r="B11" s="27" t="s">
        <v>448</v>
      </c>
      <c r="C11" s="27" t="s">
        <v>449</v>
      </c>
      <c r="D11" s="34" t="s">
        <v>214</v>
      </c>
      <c r="E11" s="27" t="s">
        <v>450</v>
      </c>
      <c r="F11" s="27" t="s">
        <v>451</v>
      </c>
      <c r="G11" s="27" t="s">
        <v>452</v>
      </c>
      <c r="H11" s="32" t="s">
        <v>92</v>
      </c>
      <c r="I11" s="34" t="s">
        <v>44</v>
      </c>
      <c r="J11" s="27" t="s">
        <v>92</v>
      </c>
      <c r="K11" s="35" t="s">
        <v>92</v>
      </c>
      <c r="L11" s="32" t="s">
        <v>92</v>
      </c>
    </row>
  </sheetData>
  <autoFilter ref="A3:L11"/>
  <mergeCells count="2">
    <mergeCell ref="A1:L1"/>
    <mergeCell ref="A2:L2"/>
  </mergeCells>
  <conditionalFormatting sqref="I4:I11">
    <cfRule type="cellIs" dxfId="20" priority="1" operator="equal">
      <formula>"Pass"</formula>
    </cfRule>
    <cfRule type="cellIs" dxfId="21" priority="2" operator="equal">
      <formula>"Fail"</formula>
    </cfRule>
    <cfRule type="cellIs" dxfId="22" priority="3" operator="equal">
      <formula>"Blocked"</formula>
    </cfRule>
    <cfRule type="cellIs" dxfId="23" priority="4" operator="equal">
      <formula>"N/A"</formula>
    </cfRule>
    <cfRule type="cellIs" dxfId="24" priority="5" operator="equal">
      <formula>"Not run"</formula>
    </cfRule>
  </conditionalFormatting>
  <conditionalFormatting sqref="D4:D11">
    <cfRule type="cellIs" dxfId="25" priority="6" operator="equal">
      <formula>"High"</formula>
    </cfRule>
  </conditionalFormatting>
  <dataValidations count="2">
    <dataValidation type="list" allowBlank="1" sqref="D4:D11">
      <formula1>"High,Medium,Low"</formula1>
    </dataValidation>
    <dataValidation type="list" showErrorMessage="1" errorTitle="Pick a status" error="Use Not run, Pass, Fail, Blocked or N/A." sqref="I4:I11">
      <formula1>"Not run,Pass,Fail,Blocked,N/A"</formula1>
    </dataValidation>
  </dataValidations>
  <pageMargins left="0.3" right="0.3" top="0.4" bottom="0.4" header="0.2" footer="0.2"/>
  <pageSetup orientation="landscape" fitToWidth="1" fitToHeight="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L14"/>
  <sheetViews>
    <sheetView workbookViewId="0" showGridLines="0">
      <pane xSplit="1" ySplit="3" topLeftCell="B4" activePane="bottomRight" state="frozen"/>
      <selection pane="bottomRight"/>
    </sheetView>
  </sheetViews>
  <sheetFormatPr defaultRowHeight="15" outlineLevelRow="0" outlineLevelCol="0" x14ac:dyDescent="55"/>
  <cols>
    <col min="2" max="2" width="26" customWidth="1"/>
    <col min="3" max="3" width="34" customWidth="1"/>
    <col min="5" max="5" width="30" customWidth="1"/>
    <col min="6" max="6" width="56" customWidth="1"/>
    <col min="7" max="7" width="46" customWidth="1"/>
    <col min="8" max="8" width="26" customWidth="1"/>
    <col min="9" max="9" width="11" customWidth="1"/>
    <col min="10" max="10" width="13" customWidth="1"/>
    <col min="11" max="11" width="11" customWidth="1"/>
    <col min="12" max="12" width="24" customWidth="1"/>
  </cols>
  <sheetData>
    <row r="1" ht="26" customHeight="1" spans="1:12" x14ac:dyDescent="0.25">
      <c r="A1" s="1" t="s">
        <v>453</v>
      </c>
      <c r="B1" s="1"/>
      <c r="C1" s="1"/>
      <c r="D1" s="1"/>
      <c r="E1" s="1"/>
      <c r="F1" s="1"/>
      <c r="G1" s="1"/>
      <c r="H1" s="1"/>
      <c r="I1" s="1"/>
      <c r="J1" s="1"/>
      <c r="K1" s="1"/>
      <c r="L1" s="1"/>
    </row>
    <row r="2" ht="18" customHeight="1" spans="1:12" x14ac:dyDescent="0.25">
      <c r="A2" s="2" t="s">
        <v>454</v>
      </c>
      <c r="B2" s="2"/>
      <c r="C2" s="2"/>
      <c r="D2" s="2"/>
      <c r="E2" s="2"/>
      <c r="F2" s="2"/>
      <c r="G2" s="2"/>
      <c r="H2" s="2"/>
      <c r="I2" s="2"/>
      <c r="J2" s="2"/>
      <c r="K2" s="2"/>
      <c r="L2" s="2"/>
    </row>
    <row r="3" ht="24" customHeight="1" spans="1:12" x14ac:dyDescent="0.25">
      <c r="A3" s="7" t="s">
        <v>189</v>
      </c>
      <c r="B3" s="7" t="s">
        <v>190</v>
      </c>
      <c r="C3" s="7" t="s">
        <v>191</v>
      </c>
      <c r="D3" s="7" t="s">
        <v>54</v>
      </c>
      <c r="E3" s="7" t="s">
        <v>192</v>
      </c>
      <c r="F3" s="7" t="s">
        <v>193</v>
      </c>
      <c r="G3" s="7" t="s">
        <v>194</v>
      </c>
      <c r="H3" s="7" t="s">
        <v>195</v>
      </c>
      <c r="I3" s="7" t="s">
        <v>196</v>
      </c>
      <c r="J3" s="7" t="s">
        <v>14</v>
      </c>
      <c r="K3" s="7" t="s">
        <v>93</v>
      </c>
      <c r="L3" s="7" t="s">
        <v>197</v>
      </c>
    </row>
    <row r="4" ht="69" customHeight="1" spans="1:12" x14ac:dyDescent="0.25">
      <c r="A4" s="23" t="s">
        <v>455</v>
      </c>
      <c r="B4" s="24" t="s">
        <v>456</v>
      </c>
      <c r="C4" s="24" t="s">
        <v>457</v>
      </c>
      <c r="D4" s="31" t="s">
        <v>201</v>
      </c>
      <c r="E4" s="24" t="s">
        <v>458</v>
      </c>
      <c r="F4" s="24" t="s">
        <v>459</v>
      </c>
      <c r="G4" s="24" t="s">
        <v>460</v>
      </c>
      <c r="H4" s="32" t="s">
        <v>92</v>
      </c>
      <c r="I4" s="31" t="s">
        <v>44</v>
      </c>
      <c r="J4" s="24" t="s">
        <v>92</v>
      </c>
      <c r="K4" s="33" t="s">
        <v>92</v>
      </c>
      <c r="L4" s="32" t="s">
        <v>92</v>
      </c>
    </row>
    <row r="5" ht="56.4" customHeight="1" spans="1:12" x14ac:dyDescent="0.25">
      <c r="A5" s="26" t="s">
        <v>461</v>
      </c>
      <c r="B5" s="27" t="s">
        <v>462</v>
      </c>
      <c r="C5" s="27" t="s">
        <v>463</v>
      </c>
      <c r="D5" s="34" t="s">
        <v>214</v>
      </c>
      <c r="E5" s="27" t="s">
        <v>464</v>
      </c>
      <c r="F5" s="27" t="s">
        <v>465</v>
      </c>
      <c r="G5" s="27" t="s">
        <v>466</v>
      </c>
      <c r="H5" s="32" t="s">
        <v>92</v>
      </c>
      <c r="I5" s="34" t="s">
        <v>44</v>
      </c>
      <c r="J5" s="27" t="s">
        <v>92</v>
      </c>
      <c r="K5" s="35" t="s">
        <v>92</v>
      </c>
      <c r="L5" s="32" t="s">
        <v>92</v>
      </c>
    </row>
    <row r="6" ht="43.8" customHeight="1" spans="1:12" x14ac:dyDescent="0.25">
      <c r="A6" s="23" t="s">
        <v>467</v>
      </c>
      <c r="B6" s="24" t="s">
        <v>468</v>
      </c>
      <c r="C6" s="24" t="s">
        <v>469</v>
      </c>
      <c r="D6" s="31" t="s">
        <v>214</v>
      </c>
      <c r="E6" s="24" t="s">
        <v>470</v>
      </c>
      <c r="F6" s="24" t="s">
        <v>471</v>
      </c>
      <c r="G6" s="24" t="s">
        <v>472</v>
      </c>
      <c r="H6" s="32" t="s">
        <v>92</v>
      </c>
      <c r="I6" s="31" t="s">
        <v>44</v>
      </c>
      <c r="J6" s="24" t="s">
        <v>92</v>
      </c>
      <c r="K6" s="33" t="s">
        <v>92</v>
      </c>
      <c r="L6" s="32" t="s">
        <v>92</v>
      </c>
    </row>
    <row r="7" ht="56.4" customHeight="1" spans="1:12" x14ac:dyDescent="0.25">
      <c r="A7" s="26" t="s">
        <v>473</v>
      </c>
      <c r="B7" s="27" t="s">
        <v>474</v>
      </c>
      <c r="C7" s="27" t="s">
        <v>475</v>
      </c>
      <c r="D7" s="34" t="s">
        <v>201</v>
      </c>
      <c r="E7" s="27" t="s">
        <v>476</v>
      </c>
      <c r="F7" s="27" t="s">
        <v>477</v>
      </c>
      <c r="G7" s="27" t="s">
        <v>478</v>
      </c>
      <c r="H7" s="32" t="s">
        <v>92</v>
      </c>
      <c r="I7" s="34" t="s">
        <v>44</v>
      </c>
      <c r="J7" s="27" t="s">
        <v>92</v>
      </c>
      <c r="K7" s="35" t="s">
        <v>92</v>
      </c>
      <c r="L7" s="32" t="s">
        <v>92</v>
      </c>
    </row>
    <row r="8" ht="69" customHeight="1" spans="1:12" x14ac:dyDescent="0.25">
      <c r="A8" s="23" t="s">
        <v>479</v>
      </c>
      <c r="B8" s="24" t="s">
        <v>480</v>
      </c>
      <c r="C8" s="24" t="s">
        <v>481</v>
      </c>
      <c r="D8" s="31" t="s">
        <v>201</v>
      </c>
      <c r="E8" s="24" t="s">
        <v>482</v>
      </c>
      <c r="F8" s="24" t="s">
        <v>483</v>
      </c>
      <c r="G8" s="24" t="s">
        <v>484</v>
      </c>
      <c r="H8" s="32" t="s">
        <v>92</v>
      </c>
      <c r="I8" s="31" t="s">
        <v>44</v>
      </c>
      <c r="J8" s="24" t="s">
        <v>92</v>
      </c>
      <c r="K8" s="33" t="s">
        <v>92</v>
      </c>
      <c r="L8" s="32" t="s">
        <v>92</v>
      </c>
    </row>
    <row r="9" ht="81.6" customHeight="1" spans="1:12" x14ac:dyDescent="0.25">
      <c r="A9" s="26" t="s">
        <v>485</v>
      </c>
      <c r="B9" s="27" t="s">
        <v>486</v>
      </c>
      <c r="C9" s="27" t="s">
        <v>487</v>
      </c>
      <c r="D9" s="34" t="s">
        <v>201</v>
      </c>
      <c r="E9" s="27" t="s">
        <v>488</v>
      </c>
      <c r="F9" s="27" t="s">
        <v>489</v>
      </c>
      <c r="G9" s="27" t="s">
        <v>490</v>
      </c>
      <c r="H9" s="32" t="s">
        <v>92</v>
      </c>
      <c r="I9" s="34" t="s">
        <v>44</v>
      </c>
      <c r="J9" s="27" t="s">
        <v>92</v>
      </c>
      <c r="K9" s="35" t="s">
        <v>92</v>
      </c>
      <c r="L9" s="32" t="s">
        <v>92</v>
      </c>
    </row>
    <row r="10" ht="69" customHeight="1" spans="1:12" x14ac:dyDescent="0.25">
      <c r="A10" s="23" t="s">
        <v>491</v>
      </c>
      <c r="B10" s="24" t="s">
        <v>492</v>
      </c>
      <c r="C10" s="24" t="s">
        <v>493</v>
      </c>
      <c r="D10" s="31" t="s">
        <v>214</v>
      </c>
      <c r="E10" s="24" t="s">
        <v>494</v>
      </c>
      <c r="F10" s="24" t="s">
        <v>495</v>
      </c>
      <c r="G10" s="24" t="s">
        <v>496</v>
      </c>
      <c r="H10" s="32" t="s">
        <v>92</v>
      </c>
      <c r="I10" s="31" t="s">
        <v>44</v>
      </c>
      <c r="J10" s="24" t="s">
        <v>92</v>
      </c>
      <c r="K10" s="33" t="s">
        <v>92</v>
      </c>
      <c r="L10" s="32" t="s">
        <v>92</v>
      </c>
    </row>
    <row r="11" ht="69" customHeight="1" spans="1:12" x14ac:dyDescent="0.25">
      <c r="A11" s="26" t="s">
        <v>497</v>
      </c>
      <c r="B11" s="27" t="s">
        <v>498</v>
      </c>
      <c r="C11" s="27" t="s">
        <v>499</v>
      </c>
      <c r="D11" s="34" t="s">
        <v>201</v>
      </c>
      <c r="E11" s="27" t="s">
        <v>500</v>
      </c>
      <c r="F11" s="27" t="s">
        <v>501</v>
      </c>
      <c r="G11" s="27" t="s">
        <v>502</v>
      </c>
      <c r="H11" s="32" t="s">
        <v>92</v>
      </c>
      <c r="I11" s="34" t="s">
        <v>44</v>
      </c>
      <c r="J11" s="27" t="s">
        <v>92</v>
      </c>
      <c r="K11" s="35" t="s">
        <v>92</v>
      </c>
      <c r="L11" s="32" t="s">
        <v>92</v>
      </c>
    </row>
    <row r="12" ht="43.8" customHeight="1" spans="1:12" x14ac:dyDescent="0.25">
      <c r="A12" s="23" t="s">
        <v>503</v>
      </c>
      <c r="B12" s="24" t="s">
        <v>504</v>
      </c>
      <c r="C12" s="24" t="s">
        <v>505</v>
      </c>
      <c r="D12" s="31" t="s">
        <v>201</v>
      </c>
      <c r="E12" s="24" t="s">
        <v>506</v>
      </c>
      <c r="F12" s="24" t="s">
        <v>507</v>
      </c>
      <c r="G12" s="24" t="s">
        <v>508</v>
      </c>
      <c r="H12" s="32" t="s">
        <v>92</v>
      </c>
      <c r="I12" s="31" t="s">
        <v>44</v>
      </c>
      <c r="J12" s="24" t="s">
        <v>92</v>
      </c>
      <c r="K12" s="33" t="s">
        <v>92</v>
      </c>
      <c r="L12" s="32" t="s">
        <v>92</v>
      </c>
    </row>
    <row r="13" ht="56.4" customHeight="1" spans="1:12" x14ac:dyDescent="0.25">
      <c r="A13" s="26" t="s">
        <v>509</v>
      </c>
      <c r="B13" s="27" t="s">
        <v>510</v>
      </c>
      <c r="C13" s="27" t="s">
        <v>511</v>
      </c>
      <c r="D13" s="34" t="s">
        <v>201</v>
      </c>
      <c r="E13" s="27" t="s">
        <v>512</v>
      </c>
      <c r="F13" s="27" t="s">
        <v>513</v>
      </c>
      <c r="G13" s="27" t="s">
        <v>514</v>
      </c>
      <c r="H13" s="32" t="s">
        <v>92</v>
      </c>
      <c r="I13" s="34" t="s">
        <v>44</v>
      </c>
      <c r="J13" s="27" t="s">
        <v>92</v>
      </c>
      <c r="K13" s="35" t="s">
        <v>92</v>
      </c>
      <c r="L13" s="32" t="s">
        <v>92</v>
      </c>
    </row>
    <row r="14" ht="43.8" customHeight="1" spans="1:12" x14ac:dyDescent="0.25">
      <c r="A14" s="23" t="s">
        <v>515</v>
      </c>
      <c r="B14" s="24" t="s">
        <v>516</v>
      </c>
      <c r="C14" s="24" t="s">
        <v>517</v>
      </c>
      <c r="D14" s="31" t="s">
        <v>214</v>
      </c>
      <c r="E14" s="24" t="s">
        <v>518</v>
      </c>
      <c r="F14" s="24" t="s">
        <v>519</v>
      </c>
      <c r="G14" s="24" t="s">
        <v>520</v>
      </c>
      <c r="H14" s="32" t="s">
        <v>92</v>
      </c>
      <c r="I14" s="31" t="s">
        <v>44</v>
      </c>
      <c r="J14" s="24" t="s">
        <v>92</v>
      </c>
      <c r="K14" s="33" t="s">
        <v>92</v>
      </c>
      <c r="L14" s="32" t="s">
        <v>92</v>
      </c>
    </row>
  </sheetData>
  <autoFilter ref="A3:L14"/>
  <mergeCells count="2">
    <mergeCell ref="A1:L1"/>
    <mergeCell ref="A2:L2"/>
  </mergeCells>
  <conditionalFormatting sqref="I4:I14">
    <cfRule type="cellIs" dxfId="26" priority="1" operator="equal">
      <formula>"Pass"</formula>
    </cfRule>
    <cfRule type="cellIs" dxfId="27" priority="2" operator="equal">
      <formula>"Fail"</formula>
    </cfRule>
    <cfRule type="cellIs" dxfId="28" priority="3" operator="equal">
      <formula>"Blocked"</formula>
    </cfRule>
    <cfRule type="cellIs" dxfId="29" priority="4" operator="equal">
      <formula>"N/A"</formula>
    </cfRule>
    <cfRule type="cellIs" dxfId="30" priority="5" operator="equal">
      <formula>"Not run"</formula>
    </cfRule>
  </conditionalFormatting>
  <conditionalFormatting sqref="D4:D14">
    <cfRule type="cellIs" dxfId="31" priority="6" operator="equal">
      <formula>"High"</formula>
    </cfRule>
  </conditionalFormatting>
  <dataValidations count="2">
    <dataValidation type="list" allowBlank="1" sqref="D4:D14">
      <formula1>"High,Medium,Low"</formula1>
    </dataValidation>
    <dataValidation type="list" showErrorMessage="1" errorTitle="Pick a status" error="Use Not run, Pass, Fail, Blocked or N/A." sqref="I4:I14">
      <formula1>"Not run,Pass,Fail,Blocked,N/A"</formula1>
    </dataValidation>
  </dataValidations>
  <pageMargins left="0.3" right="0.3" top="0.4" bottom="0.4" header="0.2" footer="0.2"/>
  <pageSetup orientation="landscape" fitToWidth="1" fitToHeight="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L15"/>
  <sheetViews>
    <sheetView workbookViewId="0" showGridLines="0">
      <pane xSplit="1" ySplit="3" topLeftCell="B4" activePane="bottomRight" state="frozen"/>
      <selection pane="bottomRight"/>
    </sheetView>
  </sheetViews>
  <sheetFormatPr defaultRowHeight="15" outlineLevelRow="0" outlineLevelCol="0" x14ac:dyDescent="55"/>
  <cols>
    <col min="2" max="2" width="26" customWidth="1"/>
    <col min="3" max="3" width="34" customWidth="1"/>
    <col min="5" max="5" width="30" customWidth="1"/>
    <col min="6" max="6" width="56" customWidth="1"/>
    <col min="7" max="7" width="46" customWidth="1"/>
    <col min="8" max="8" width="26" customWidth="1"/>
    <col min="9" max="9" width="11" customWidth="1"/>
    <col min="10" max="10" width="13" customWidth="1"/>
    <col min="11" max="11" width="11" customWidth="1"/>
    <col min="12" max="12" width="24" customWidth="1"/>
  </cols>
  <sheetData>
    <row r="1" ht="26" customHeight="1" spans="1:12" x14ac:dyDescent="0.25">
      <c r="A1" s="1" t="s">
        <v>521</v>
      </c>
      <c r="B1" s="1"/>
      <c r="C1" s="1"/>
      <c r="D1" s="1"/>
      <c r="E1" s="1"/>
      <c r="F1" s="1"/>
      <c r="G1" s="1"/>
      <c r="H1" s="1"/>
      <c r="I1" s="1"/>
      <c r="J1" s="1"/>
      <c r="K1" s="1"/>
      <c r="L1" s="1"/>
    </row>
    <row r="2" ht="18" customHeight="1" spans="1:12" x14ac:dyDescent="0.25">
      <c r="A2" s="2" t="s">
        <v>522</v>
      </c>
      <c r="B2" s="2"/>
      <c r="C2" s="2"/>
      <c r="D2" s="2"/>
      <c r="E2" s="2"/>
      <c r="F2" s="2"/>
      <c r="G2" s="2"/>
      <c r="H2" s="2"/>
      <c r="I2" s="2"/>
      <c r="J2" s="2"/>
      <c r="K2" s="2"/>
      <c r="L2" s="2"/>
    </row>
    <row r="3" ht="24" customHeight="1" spans="1:12" x14ac:dyDescent="0.25">
      <c r="A3" s="7" t="s">
        <v>189</v>
      </c>
      <c r="B3" s="7" t="s">
        <v>190</v>
      </c>
      <c r="C3" s="7" t="s">
        <v>191</v>
      </c>
      <c r="D3" s="7" t="s">
        <v>54</v>
      </c>
      <c r="E3" s="7" t="s">
        <v>192</v>
      </c>
      <c r="F3" s="7" t="s">
        <v>193</v>
      </c>
      <c r="G3" s="7" t="s">
        <v>194</v>
      </c>
      <c r="H3" s="7" t="s">
        <v>195</v>
      </c>
      <c r="I3" s="7" t="s">
        <v>196</v>
      </c>
      <c r="J3" s="7" t="s">
        <v>14</v>
      </c>
      <c r="K3" s="7" t="s">
        <v>93</v>
      </c>
      <c r="L3" s="7" t="s">
        <v>197</v>
      </c>
    </row>
    <row r="4" ht="56.4" customHeight="1" spans="1:12" x14ac:dyDescent="0.25">
      <c r="A4" s="23" t="s">
        <v>523</v>
      </c>
      <c r="B4" s="24" t="s">
        <v>524</v>
      </c>
      <c r="C4" s="24" t="s">
        <v>525</v>
      </c>
      <c r="D4" s="31" t="s">
        <v>201</v>
      </c>
      <c r="E4" s="24" t="s">
        <v>526</v>
      </c>
      <c r="F4" s="24" t="s">
        <v>527</v>
      </c>
      <c r="G4" s="24" t="s">
        <v>528</v>
      </c>
      <c r="H4" s="32" t="s">
        <v>92</v>
      </c>
      <c r="I4" s="31" t="s">
        <v>44</v>
      </c>
      <c r="J4" s="24" t="s">
        <v>92</v>
      </c>
      <c r="K4" s="33" t="s">
        <v>92</v>
      </c>
      <c r="L4" s="32" t="s">
        <v>92</v>
      </c>
    </row>
    <row r="5" ht="56.4" customHeight="1" spans="1:12" x14ac:dyDescent="0.25">
      <c r="A5" s="26" t="s">
        <v>529</v>
      </c>
      <c r="B5" s="27" t="s">
        <v>530</v>
      </c>
      <c r="C5" s="27" t="s">
        <v>531</v>
      </c>
      <c r="D5" s="34" t="s">
        <v>201</v>
      </c>
      <c r="E5" s="27" t="s">
        <v>532</v>
      </c>
      <c r="F5" s="27" t="s">
        <v>533</v>
      </c>
      <c r="G5" s="27" t="s">
        <v>534</v>
      </c>
      <c r="H5" s="32" t="s">
        <v>92</v>
      </c>
      <c r="I5" s="34" t="s">
        <v>44</v>
      </c>
      <c r="J5" s="27" t="s">
        <v>92</v>
      </c>
      <c r="K5" s="35" t="s">
        <v>92</v>
      </c>
      <c r="L5" s="32" t="s">
        <v>92</v>
      </c>
    </row>
    <row r="6" ht="56.4" customHeight="1" spans="1:12" x14ac:dyDescent="0.25">
      <c r="A6" s="23" t="s">
        <v>535</v>
      </c>
      <c r="B6" s="24" t="s">
        <v>536</v>
      </c>
      <c r="C6" s="24" t="s">
        <v>537</v>
      </c>
      <c r="D6" s="31" t="s">
        <v>201</v>
      </c>
      <c r="E6" s="24" t="s">
        <v>538</v>
      </c>
      <c r="F6" s="24" t="s">
        <v>539</v>
      </c>
      <c r="G6" s="24" t="s">
        <v>540</v>
      </c>
      <c r="H6" s="32" t="s">
        <v>92</v>
      </c>
      <c r="I6" s="31" t="s">
        <v>44</v>
      </c>
      <c r="J6" s="24" t="s">
        <v>92</v>
      </c>
      <c r="K6" s="33" t="s">
        <v>92</v>
      </c>
      <c r="L6" s="32" t="s">
        <v>92</v>
      </c>
    </row>
    <row r="7" ht="56.4" customHeight="1" spans="1:12" x14ac:dyDescent="0.25">
      <c r="A7" s="26" t="s">
        <v>541</v>
      </c>
      <c r="B7" s="27" t="s">
        <v>542</v>
      </c>
      <c r="C7" s="27" t="s">
        <v>543</v>
      </c>
      <c r="D7" s="34" t="s">
        <v>201</v>
      </c>
      <c r="E7" s="27" t="s">
        <v>538</v>
      </c>
      <c r="F7" s="27" t="s">
        <v>544</v>
      </c>
      <c r="G7" s="27" t="s">
        <v>545</v>
      </c>
      <c r="H7" s="32" t="s">
        <v>92</v>
      </c>
      <c r="I7" s="34" t="s">
        <v>44</v>
      </c>
      <c r="J7" s="27" t="s">
        <v>92</v>
      </c>
      <c r="K7" s="35" t="s">
        <v>92</v>
      </c>
      <c r="L7" s="32" t="s">
        <v>92</v>
      </c>
    </row>
    <row r="8" ht="56.4" customHeight="1" spans="1:12" x14ac:dyDescent="0.25">
      <c r="A8" s="23" t="s">
        <v>546</v>
      </c>
      <c r="B8" s="24" t="s">
        <v>547</v>
      </c>
      <c r="C8" s="24" t="s">
        <v>548</v>
      </c>
      <c r="D8" s="31" t="s">
        <v>201</v>
      </c>
      <c r="E8" s="24" t="s">
        <v>549</v>
      </c>
      <c r="F8" s="24" t="s">
        <v>550</v>
      </c>
      <c r="G8" s="24" t="s">
        <v>551</v>
      </c>
      <c r="H8" s="32" t="s">
        <v>92</v>
      </c>
      <c r="I8" s="31" t="s">
        <v>44</v>
      </c>
      <c r="J8" s="24" t="s">
        <v>92</v>
      </c>
      <c r="K8" s="33" t="s">
        <v>92</v>
      </c>
      <c r="L8" s="32" t="s">
        <v>92</v>
      </c>
    </row>
    <row r="9" ht="43.8" customHeight="1" spans="1:12" x14ac:dyDescent="0.25">
      <c r="A9" s="26" t="s">
        <v>552</v>
      </c>
      <c r="B9" s="27" t="s">
        <v>553</v>
      </c>
      <c r="C9" s="27" t="s">
        <v>554</v>
      </c>
      <c r="D9" s="34" t="s">
        <v>201</v>
      </c>
      <c r="E9" s="27" t="s">
        <v>538</v>
      </c>
      <c r="F9" s="27" t="s">
        <v>555</v>
      </c>
      <c r="G9" s="27" t="s">
        <v>556</v>
      </c>
      <c r="H9" s="32" t="s">
        <v>92</v>
      </c>
      <c r="I9" s="34" t="s">
        <v>44</v>
      </c>
      <c r="J9" s="27" t="s">
        <v>92</v>
      </c>
      <c r="K9" s="35" t="s">
        <v>92</v>
      </c>
      <c r="L9" s="32" t="s">
        <v>92</v>
      </c>
    </row>
    <row r="10" ht="56.4" customHeight="1" spans="1:12" x14ac:dyDescent="0.25">
      <c r="A10" s="23" t="s">
        <v>557</v>
      </c>
      <c r="B10" s="24" t="s">
        <v>558</v>
      </c>
      <c r="C10" s="24" t="s">
        <v>559</v>
      </c>
      <c r="D10" s="31" t="s">
        <v>201</v>
      </c>
      <c r="E10" s="24" t="s">
        <v>560</v>
      </c>
      <c r="F10" s="24" t="s">
        <v>561</v>
      </c>
      <c r="G10" s="24" t="s">
        <v>562</v>
      </c>
      <c r="H10" s="32" t="s">
        <v>92</v>
      </c>
      <c r="I10" s="31" t="s">
        <v>44</v>
      </c>
      <c r="J10" s="24" t="s">
        <v>92</v>
      </c>
      <c r="K10" s="33" t="s">
        <v>92</v>
      </c>
      <c r="L10" s="32" t="s">
        <v>92</v>
      </c>
    </row>
    <row r="11" ht="69" customHeight="1" spans="1:12" x14ac:dyDescent="0.25">
      <c r="A11" s="26" t="s">
        <v>563</v>
      </c>
      <c r="B11" s="27" t="s">
        <v>564</v>
      </c>
      <c r="C11" s="27" t="s">
        <v>565</v>
      </c>
      <c r="D11" s="34" t="s">
        <v>201</v>
      </c>
      <c r="E11" s="27" t="s">
        <v>566</v>
      </c>
      <c r="F11" s="27" t="s">
        <v>567</v>
      </c>
      <c r="G11" s="27" t="s">
        <v>568</v>
      </c>
      <c r="H11" s="32" t="s">
        <v>92</v>
      </c>
      <c r="I11" s="34" t="s">
        <v>44</v>
      </c>
      <c r="J11" s="27" t="s">
        <v>92</v>
      </c>
      <c r="K11" s="35" t="s">
        <v>92</v>
      </c>
      <c r="L11" s="32" t="s">
        <v>92</v>
      </c>
    </row>
    <row r="12" ht="43.8" customHeight="1" spans="1:12" x14ac:dyDescent="0.25">
      <c r="A12" s="23" t="s">
        <v>569</v>
      </c>
      <c r="B12" s="24" t="s">
        <v>570</v>
      </c>
      <c r="C12" s="24" t="s">
        <v>571</v>
      </c>
      <c r="D12" s="31" t="s">
        <v>201</v>
      </c>
      <c r="E12" s="24" t="s">
        <v>572</v>
      </c>
      <c r="F12" s="24" t="s">
        <v>573</v>
      </c>
      <c r="G12" s="24" t="s">
        <v>574</v>
      </c>
      <c r="H12" s="32" t="s">
        <v>92</v>
      </c>
      <c r="I12" s="31" t="s">
        <v>44</v>
      </c>
      <c r="J12" s="24" t="s">
        <v>92</v>
      </c>
      <c r="K12" s="33" t="s">
        <v>92</v>
      </c>
      <c r="L12" s="32" t="s">
        <v>92</v>
      </c>
    </row>
    <row r="13" ht="56.4" customHeight="1" spans="1:12" x14ac:dyDescent="0.25">
      <c r="A13" s="26" t="s">
        <v>575</v>
      </c>
      <c r="B13" s="27" t="s">
        <v>576</v>
      </c>
      <c r="C13" s="27" t="s">
        <v>577</v>
      </c>
      <c r="D13" s="34" t="s">
        <v>214</v>
      </c>
      <c r="E13" s="27" t="s">
        <v>578</v>
      </c>
      <c r="F13" s="27" t="s">
        <v>579</v>
      </c>
      <c r="G13" s="27" t="s">
        <v>580</v>
      </c>
      <c r="H13" s="32" t="s">
        <v>92</v>
      </c>
      <c r="I13" s="34" t="s">
        <v>44</v>
      </c>
      <c r="J13" s="27" t="s">
        <v>92</v>
      </c>
      <c r="K13" s="35" t="s">
        <v>92</v>
      </c>
      <c r="L13" s="32" t="s">
        <v>92</v>
      </c>
    </row>
    <row r="14" ht="43.8" customHeight="1" spans="1:12" x14ac:dyDescent="0.25">
      <c r="A14" s="23" t="s">
        <v>581</v>
      </c>
      <c r="B14" s="24" t="s">
        <v>582</v>
      </c>
      <c r="C14" s="24" t="s">
        <v>583</v>
      </c>
      <c r="D14" s="31" t="s">
        <v>214</v>
      </c>
      <c r="E14" s="24" t="s">
        <v>584</v>
      </c>
      <c r="F14" s="24" t="s">
        <v>585</v>
      </c>
      <c r="G14" s="24" t="s">
        <v>586</v>
      </c>
      <c r="H14" s="32" t="s">
        <v>92</v>
      </c>
      <c r="I14" s="31" t="s">
        <v>44</v>
      </c>
      <c r="J14" s="24" t="s">
        <v>92</v>
      </c>
      <c r="K14" s="33" t="s">
        <v>92</v>
      </c>
      <c r="L14" s="32" t="s">
        <v>92</v>
      </c>
    </row>
    <row r="15" ht="56.4" customHeight="1" spans="1:12" x14ac:dyDescent="0.25">
      <c r="A15" s="26" t="s">
        <v>587</v>
      </c>
      <c r="B15" s="27" t="s">
        <v>588</v>
      </c>
      <c r="C15" s="27" t="s">
        <v>589</v>
      </c>
      <c r="D15" s="34" t="s">
        <v>214</v>
      </c>
      <c r="E15" s="27" t="s">
        <v>590</v>
      </c>
      <c r="F15" s="27" t="s">
        <v>591</v>
      </c>
      <c r="G15" s="27" t="s">
        <v>592</v>
      </c>
      <c r="H15" s="32" t="s">
        <v>92</v>
      </c>
      <c r="I15" s="34" t="s">
        <v>44</v>
      </c>
      <c r="J15" s="27" t="s">
        <v>92</v>
      </c>
      <c r="K15" s="35" t="s">
        <v>92</v>
      </c>
      <c r="L15" s="32" t="s">
        <v>92</v>
      </c>
    </row>
  </sheetData>
  <autoFilter ref="A3:L15"/>
  <mergeCells count="2">
    <mergeCell ref="A1:L1"/>
    <mergeCell ref="A2:L2"/>
  </mergeCells>
  <conditionalFormatting sqref="I4:I15">
    <cfRule type="cellIs" dxfId="32" priority="1" operator="equal">
      <formula>"Pass"</formula>
    </cfRule>
    <cfRule type="cellIs" dxfId="33" priority="2" operator="equal">
      <formula>"Fail"</formula>
    </cfRule>
    <cfRule type="cellIs" dxfId="34" priority="3" operator="equal">
      <formula>"Blocked"</formula>
    </cfRule>
    <cfRule type="cellIs" dxfId="35" priority="4" operator="equal">
      <formula>"N/A"</formula>
    </cfRule>
    <cfRule type="cellIs" dxfId="36" priority="5" operator="equal">
      <formula>"Not run"</formula>
    </cfRule>
  </conditionalFormatting>
  <conditionalFormatting sqref="D4:D15">
    <cfRule type="cellIs" dxfId="37" priority="6" operator="equal">
      <formula>"High"</formula>
    </cfRule>
  </conditionalFormatting>
  <dataValidations count="2">
    <dataValidation type="list" allowBlank="1" sqref="D4:D15">
      <formula1>"High,Medium,Low"</formula1>
    </dataValidation>
    <dataValidation type="list" showErrorMessage="1" errorTitle="Pick a status" error="Use Not run, Pass, Fail, Blocked or N/A." sqref="I4:I15">
      <formula1>"Not run,Pass,Fail,Blocked,N/A"</formula1>
    </dataValidation>
  </dataValidations>
  <pageMargins left="0.3" right="0.3" top="0.4" bottom="0.4" header="0.2" footer="0.2"/>
  <pageSetup orientation="landscape" fitToWidth="1" fitToHeight="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L20"/>
  <sheetViews>
    <sheetView workbookViewId="0" showGridLines="0">
      <pane xSplit="1" ySplit="3" topLeftCell="B4" activePane="bottomRight" state="frozen"/>
      <selection pane="bottomRight"/>
    </sheetView>
  </sheetViews>
  <sheetFormatPr defaultRowHeight="15" outlineLevelRow="0" outlineLevelCol="0" x14ac:dyDescent="55"/>
  <cols>
    <col min="2" max="2" width="26" customWidth="1"/>
    <col min="3" max="3" width="34" customWidth="1"/>
    <col min="5" max="5" width="30" customWidth="1"/>
    <col min="6" max="6" width="56" customWidth="1"/>
    <col min="7" max="7" width="46" customWidth="1"/>
    <col min="8" max="8" width="26" customWidth="1"/>
    <col min="9" max="9" width="11" customWidth="1"/>
    <col min="10" max="10" width="13" customWidth="1"/>
    <col min="11" max="11" width="11" customWidth="1"/>
    <col min="12" max="12" width="24" customWidth="1"/>
  </cols>
  <sheetData>
    <row r="1" ht="26" customHeight="1" spans="1:12" x14ac:dyDescent="0.25">
      <c r="A1" s="1" t="s">
        <v>593</v>
      </c>
      <c r="B1" s="1"/>
      <c r="C1" s="1"/>
      <c r="D1" s="1"/>
      <c r="E1" s="1"/>
      <c r="F1" s="1"/>
      <c r="G1" s="1"/>
      <c r="H1" s="1"/>
      <c r="I1" s="1"/>
      <c r="J1" s="1"/>
      <c r="K1" s="1"/>
      <c r="L1" s="1"/>
    </row>
    <row r="2" ht="18" customHeight="1" spans="1:12" x14ac:dyDescent="0.25">
      <c r="A2" s="2" t="s">
        <v>594</v>
      </c>
      <c r="B2" s="2"/>
      <c r="C2" s="2"/>
      <c r="D2" s="2"/>
      <c r="E2" s="2"/>
      <c r="F2" s="2"/>
      <c r="G2" s="2"/>
      <c r="H2" s="2"/>
      <c r="I2" s="2"/>
      <c r="J2" s="2"/>
      <c r="K2" s="2"/>
      <c r="L2" s="2"/>
    </row>
    <row r="3" ht="24" customHeight="1" spans="1:12" x14ac:dyDescent="0.25">
      <c r="A3" s="7" t="s">
        <v>189</v>
      </c>
      <c r="B3" s="7" t="s">
        <v>190</v>
      </c>
      <c r="C3" s="7" t="s">
        <v>191</v>
      </c>
      <c r="D3" s="7" t="s">
        <v>54</v>
      </c>
      <c r="E3" s="7" t="s">
        <v>192</v>
      </c>
      <c r="F3" s="7" t="s">
        <v>193</v>
      </c>
      <c r="G3" s="7" t="s">
        <v>194</v>
      </c>
      <c r="H3" s="7" t="s">
        <v>195</v>
      </c>
      <c r="I3" s="7" t="s">
        <v>196</v>
      </c>
      <c r="J3" s="7" t="s">
        <v>14</v>
      </c>
      <c r="K3" s="7" t="s">
        <v>93</v>
      </c>
      <c r="L3" s="7" t="s">
        <v>197</v>
      </c>
    </row>
    <row r="4" ht="43.8" customHeight="1" spans="1:12" x14ac:dyDescent="0.25">
      <c r="A4" s="23" t="s">
        <v>595</v>
      </c>
      <c r="B4" s="24" t="s">
        <v>596</v>
      </c>
      <c r="C4" s="24" t="s">
        <v>597</v>
      </c>
      <c r="D4" s="31" t="s">
        <v>201</v>
      </c>
      <c r="E4" s="24" t="s">
        <v>598</v>
      </c>
      <c r="F4" s="24" t="s">
        <v>599</v>
      </c>
      <c r="G4" s="24" t="s">
        <v>600</v>
      </c>
      <c r="H4" s="32" t="s">
        <v>92</v>
      </c>
      <c r="I4" s="31" t="s">
        <v>44</v>
      </c>
      <c r="J4" s="24" t="s">
        <v>92</v>
      </c>
      <c r="K4" s="33" t="s">
        <v>92</v>
      </c>
      <c r="L4" s="32" t="s">
        <v>92</v>
      </c>
    </row>
    <row r="5" ht="43.8" customHeight="1" spans="1:12" x14ac:dyDescent="0.25">
      <c r="A5" s="26" t="s">
        <v>601</v>
      </c>
      <c r="B5" s="27" t="s">
        <v>602</v>
      </c>
      <c r="C5" s="27" t="s">
        <v>603</v>
      </c>
      <c r="D5" s="34" t="s">
        <v>201</v>
      </c>
      <c r="E5" s="27" t="s">
        <v>604</v>
      </c>
      <c r="F5" s="27" t="s">
        <v>605</v>
      </c>
      <c r="G5" s="27" t="s">
        <v>606</v>
      </c>
      <c r="H5" s="32" t="s">
        <v>92</v>
      </c>
      <c r="I5" s="34" t="s">
        <v>44</v>
      </c>
      <c r="J5" s="27" t="s">
        <v>92</v>
      </c>
      <c r="K5" s="35" t="s">
        <v>92</v>
      </c>
      <c r="L5" s="32" t="s">
        <v>92</v>
      </c>
    </row>
    <row r="6" ht="69" customHeight="1" spans="1:12" x14ac:dyDescent="0.25">
      <c r="A6" s="23" t="s">
        <v>607</v>
      </c>
      <c r="B6" s="24" t="s">
        <v>608</v>
      </c>
      <c r="C6" s="24" t="s">
        <v>609</v>
      </c>
      <c r="D6" s="31" t="s">
        <v>214</v>
      </c>
      <c r="E6" s="24" t="s">
        <v>610</v>
      </c>
      <c r="F6" s="24" t="s">
        <v>611</v>
      </c>
      <c r="G6" s="24" t="s">
        <v>612</v>
      </c>
      <c r="H6" s="32" t="s">
        <v>92</v>
      </c>
      <c r="I6" s="31" t="s">
        <v>44</v>
      </c>
      <c r="J6" s="24" t="s">
        <v>92</v>
      </c>
      <c r="K6" s="33" t="s">
        <v>92</v>
      </c>
      <c r="L6" s="32" t="s">
        <v>92</v>
      </c>
    </row>
    <row r="7" ht="81.6" customHeight="1" spans="1:12" x14ac:dyDescent="0.25">
      <c r="A7" s="26" t="s">
        <v>613</v>
      </c>
      <c r="B7" s="27" t="s">
        <v>614</v>
      </c>
      <c r="C7" s="27" t="s">
        <v>615</v>
      </c>
      <c r="D7" s="34" t="s">
        <v>201</v>
      </c>
      <c r="E7" s="27" t="s">
        <v>616</v>
      </c>
      <c r="F7" s="27" t="s">
        <v>617</v>
      </c>
      <c r="G7" s="27" t="s">
        <v>618</v>
      </c>
      <c r="H7" s="32" t="s">
        <v>92</v>
      </c>
      <c r="I7" s="34" t="s">
        <v>44</v>
      </c>
      <c r="J7" s="27" t="s">
        <v>92</v>
      </c>
      <c r="K7" s="35" t="s">
        <v>92</v>
      </c>
      <c r="L7" s="32" t="s">
        <v>92</v>
      </c>
    </row>
    <row r="8" ht="56.4" customHeight="1" spans="1:12" x14ac:dyDescent="0.25">
      <c r="A8" s="23" t="s">
        <v>619</v>
      </c>
      <c r="B8" s="24" t="s">
        <v>620</v>
      </c>
      <c r="C8" s="24" t="s">
        <v>621</v>
      </c>
      <c r="D8" s="31" t="s">
        <v>214</v>
      </c>
      <c r="E8" s="24" t="s">
        <v>622</v>
      </c>
      <c r="F8" s="24" t="s">
        <v>623</v>
      </c>
      <c r="G8" s="24" t="s">
        <v>624</v>
      </c>
      <c r="H8" s="32" t="s">
        <v>92</v>
      </c>
      <c r="I8" s="31" t="s">
        <v>44</v>
      </c>
      <c r="J8" s="24" t="s">
        <v>92</v>
      </c>
      <c r="K8" s="33" t="s">
        <v>92</v>
      </c>
      <c r="L8" s="32" t="s">
        <v>92</v>
      </c>
    </row>
    <row r="9" ht="81.6" customHeight="1" spans="1:12" x14ac:dyDescent="0.25">
      <c r="A9" s="26" t="s">
        <v>625</v>
      </c>
      <c r="B9" s="27" t="s">
        <v>626</v>
      </c>
      <c r="C9" s="27" t="s">
        <v>627</v>
      </c>
      <c r="D9" s="34" t="s">
        <v>201</v>
      </c>
      <c r="E9" s="27" t="s">
        <v>628</v>
      </c>
      <c r="F9" s="27" t="s">
        <v>629</v>
      </c>
      <c r="G9" s="27" t="s">
        <v>630</v>
      </c>
      <c r="H9" s="32" t="s">
        <v>92</v>
      </c>
      <c r="I9" s="34" t="s">
        <v>44</v>
      </c>
      <c r="J9" s="27" t="s">
        <v>92</v>
      </c>
      <c r="K9" s="35" t="s">
        <v>92</v>
      </c>
      <c r="L9" s="32" t="s">
        <v>92</v>
      </c>
    </row>
    <row r="10" ht="43.8" customHeight="1" spans="1:12" x14ac:dyDescent="0.25">
      <c r="A10" s="23" t="s">
        <v>631</v>
      </c>
      <c r="B10" s="24" t="s">
        <v>632</v>
      </c>
      <c r="C10" s="24" t="s">
        <v>633</v>
      </c>
      <c r="D10" s="31" t="s">
        <v>214</v>
      </c>
      <c r="E10" s="24" t="s">
        <v>634</v>
      </c>
      <c r="F10" s="24" t="s">
        <v>635</v>
      </c>
      <c r="G10" s="24" t="s">
        <v>636</v>
      </c>
      <c r="H10" s="32" t="s">
        <v>92</v>
      </c>
      <c r="I10" s="31" t="s">
        <v>44</v>
      </c>
      <c r="J10" s="24" t="s">
        <v>92</v>
      </c>
      <c r="K10" s="33" t="s">
        <v>92</v>
      </c>
      <c r="L10" s="32" t="s">
        <v>92</v>
      </c>
    </row>
    <row r="11" ht="69" customHeight="1" spans="1:12" x14ac:dyDescent="0.25">
      <c r="A11" s="26" t="s">
        <v>637</v>
      </c>
      <c r="B11" s="27" t="s">
        <v>638</v>
      </c>
      <c r="C11" s="27" t="s">
        <v>639</v>
      </c>
      <c r="D11" s="34" t="s">
        <v>201</v>
      </c>
      <c r="E11" s="27" t="s">
        <v>640</v>
      </c>
      <c r="F11" s="27" t="s">
        <v>641</v>
      </c>
      <c r="G11" s="27" t="s">
        <v>642</v>
      </c>
      <c r="H11" s="32" t="s">
        <v>92</v>
      </c>
      <c r="I11" s="34" t="s">
        <v>44</v>
      </c>
      <c r="J11" s="27" t="s">
        <v>92</v>
      </c>
      <c r="K11" s="35" t="s">
        <v>92</v>
      </c>
      <c r="L11" s="32" t="s">
        <v>92</v>
      </c>
    </row>
    <row r="12" ht="56.4" customHeight="1" spans="1:12" x14ac:dyDescent="0.25">
      <c r="A12" s="23" t="s">
        <v>643</v>
      </c>
      <c r="B12" s="24" t="s">
        <v>644</v>
      </c>
      <c r="C12" s="24" t="s">
        <v>645</v>
      </c>
      <c r="D12" s="31" t="s">
        <v>201</v>
      </c>
      <c r="E12" s="24" t="s">
        <v>646</v>
      </c>
      <c r="F12" s="24" t="s">
        <v>647</v>
      </c>
      <c r="G12" s="24" t="s">
        <v>648</v>
      </c>
      <c r="H12" s="32" t="s">
        <v>92</v>
      </c>
      <c r="I12" s="31" t="s">
        <v>44</v>
      </c>
      <c r="J12" s="24" t="s">
        <v>92</v>
      </c>
      <c r="K12" s="33" t="s">
        <v>92</v>
      </c>
      <c r="L12" s="32" t="s">
        <v>92</v>
      </c>
    </row>
    <row r="13" ht="56.4" customHeight="1" spans="1:12" x14ac:dyDescent="0.25">
      <c r="A13" s="26" t="s">
        <v>649</v>
      </c>
      <c r="B13" s="27" t="s">
        <v>650</v>
      </c>
      <c r="C13" s="27" t="s">
        <v>651</v>
      </c>
      <c r="D13" s="34" t="s">
        <v>201</v>
      </c>
      <c r="E13" s="27" t="s">
        <v>652</v>
      </c>
      <c r="F13" s="27" t="s">
        <v>653</v>
      </c>
      <c r="G13" s="27" t="s">
        <v>654</v>
      </c>
      <c r="H13" s="32" t="s">
        <v>92</v>
      </c>
      <c r="I13" s="34" t="s">
        <v>44</v>
      </c>
      <c r="J13" s="27" t="s">
        <v>92</v>
      </c>
      <c r="K13" s="35" t="s">
        <v>92</v>
      </c>
      <c r="L13" s="32" t="s">
        <v>92</v>
      </c>
    </row>
    <row r="14" ht="81.6" customHeight="1" spans="1:12" x14ac:dyDescent="0.25">
      <c r="A14" s="23" t="s">
        <v>655</v>
      </c>
      <c r="B14" s="24" t="s">
        <v>656</v>
      </c>
      <c r="C14" s="24" t="s">
        <v>657</v>
      </c>
      <c r="D14" s="31" t="s">
        <v>201</v>
      </c>
      <c r="E14" s="24" t="s">
        <v>658</v>
      </c>
      <c r="F14" s="24" t="s">
        <v>659</v>
      </c>
      <c r="G14" s="24" t="s">
        <v>660</v>
      </c>
      <c r="H14" s="32" t="s">
        <v>92</v>
      </c>
      <c r="I14" s="31" t="s">
        <v>44</v>
      </c>
      <c r="J14" s="24" t="s">
        <v>92</v>
      </c>
      <c r="K14" s="33" t="s">
        <v>92</v>
      </c>
      <c r="L14" s="32" t="s">
        <v>92</v>
      </c>
    </row>
    <row r="15" ht="56.4" customHeight="1" spans="1:12" x14ac:dyDescent="0.25">
      <c r="A15" s="26" t="s">
        <v>661</v>
      </c>
      <c r="B15" s="27" t="s">
        <v>662</v>
      </c>
      <c r="C15" s="27" t="s">
        <v>663</v>
      </c>
      <c r="D15" s="34" t="s">
        <v>201</v>
      </c>
      <c r="E15" s="27" t="s">
        <v>664</v>
      </c>
      <c r="F15" s="27" t="s">
        <v>665</v>
      </c>
      <c r="G15" s="27" t="s">
        <v>666</v>
      </c>
      <c r="H15" s="32" t="s">
        <v>92</v>
      </c>
      <c r="I15" s="34" t="s">
        <v>44</v>
      </c>
      <c r="J15" s="27" t="s">
        <v>92</v>
      </c>
      <c r="K15" s="35" t="s">
        <v>92</v>
      </c>
      <c r="L15" s="32" t="s">
        <v>92</v>
      </c>
    </row>
    <row r="16" ht="43.8" customHeight="1" spans="1:12" x14ac:dyDescent="0.25">
      <c r="A16" s="23" t="s">
        <v>667</v>
      </c>
      <c r="B16" s="24" t="s">
        <v>668</v>
      </c>
      <c r="C16" s="24" t="s">
        <v>669</v>
      </c>
      <c r="D16" s="31" t="s">
        <v>214</v>
      </c>
      <c r="E16" s="24" t="s">
        <v>670</v>
      </c>
      <c r="F16" s="24" t="s">
        <v>671</v>
      </c>
      <c r="G16" s="24" t="s">
        <v>672</v>
      </c>
      <c r="H16" s="32" t="s">
        <v>92</v>
      </c>
      <c r="I16" s="31" t="s">
        <v>44</v>
      </c>
      <c r="J16" s="24" t="s">
        <v>92</v>
      </c>
      <c r="K16" s="33" t="s">
        <v>92</v>
      </c>
      <c r="L16" s="32" t="s">
        <v>92</v>
      </c>
    </row>
    <row r="17" ht="56.4" customHeight="1" spans="1:12" x14ac:dyDescent="0.25">
      <c r="A17" s="26" t="s">
        <v>673</v>
      </c>
      <c r="B17" s="27" t="s">
        <v>674</v>
      </c>
      <c r="C17" s="27" t="s">
        <v>675</v>
      </c>
      <c r="D17" s="34" t="s">
        <v>201</v>
      </c>
      <c r="E17" s="27" t="s">
        <v>676</v>
      </c>
      <c r="F17" s="27" t="s">
        <v>677</v>
      </c>
      <c r="G17" s="27" t="s">
        <v>678</v>
      </c>
      <c r="H17" s="32" t="s">
        <v>92</v>
      </c>
      <c r="I17" s="34" t="s">
        <v>44</v>
      </c>
      <c r="J17" s="27" t="s">
        <v>92</v>
      </c>
      <c r="K17" s="35" t="s">
        <v>92</v>
      </c>
      <c r="L17" s="32" t="s">
        <v>92</v>
      </c>
    </row>
    <row r="18" ht="56.4" customHeight="1" spans="1:12" x14ac:dyDescent="0.25">
      <c r="A18" s="23" t="s">
        <v>679</v>
      </c>
      <c r="B18" s="24" t="s">
        <v>680</v>
      </c>
      <c r="C18" s="24" t="s">
        <v>681</v>
      </c>
      <c r="D18" s="31" t="s">
        <v>214</v>
      </c>
      <c r="E18" s="24" t="s">
        <v>652</v>
      </c>
      <c r="F18" s="24" t="s">
        <v>682</v>
      </c>
      <c r="G18" s="24" t="s">
        <v>683</v>
      </c>
      <c r="H18" s="32" t="s">
        <v>92</v>
      </c>
      <c r="I18" s="31" t="s">
        <v>44</v>
      </c>
      <c r="J18" s="24" t="s">
        <v>92</v>
      </c>
      <c r="K18" s="33" t="s">
        <v>92</v>
      </c>
      <c r="L18" s="32" t="s">
        <v>92</v>
      </c>
    </row>
    <row r="19" ht="69" customHeight="1" spans="1:12" x14ac:dyDescent="0.25">
      <c r="A19" s="26" t="s">
        <v>684</v>
      </c>
      <c r="B19" s="27" t="s">
        <v>685</v>
      </c>
      <c r="C19" s="27" t="s">
        <v>686</v>
      </c>
      <c r="D19" s="34" t="s">
        <v>201</v>
      </c>
      <c r="E19" s="27" t="s">
        <v>687</v>
      </c>
      <c r="F19" s="27" t="s">
        <v>688</v>
      </c>
      <c r="G19" s="27" t="s">
        <v>689</v>
      </c>
      <c r="H19" s="32" t="s">
        <v>92</v>
      </c>
      <c r="I19" s="34" t="s">
        <v>44</v>
      </c>
      <c r="J19" s="27" t="s">
        <v>92</v>
      </c>
      <c r="K19" s="35" t="s">
        <v>92</v>
      </c>
      <c r="L19" s="32" t="s">
        <v>92</v>
      </c>
    </row>
    <row r="20" ht="43.8" customHeight="1" spans="1:12" x14ac:dyDescent="0.25">
      <c r="A20" s="23" t="s">
        <v>690</v>
      </c>
      <c r="B20" s="24" t="s">
        <v>691</v>
      </c>
      <c r="C20" s="24" t="s">
        <v>692</v>
      </c>
      <c r="D20" s="31" t="s">
        <v>214</v>
      </c>
      <c r="E20" s="24" t="s">
        <v>693</v>
      </c>
      <c r="F20" s="24" t="s">
        <v>694</v>
      </c>
      <c r="G20" s="24" t="s">
        <v>695</v>
      </c>
      <c r="H20" s="32" t="s">
        <v>92</v>
      </c>
      <c r="I20" s="31" t="s">
        <v>44</v>
      </c>
      <c r="J20" s="24" t="s">
        <v>92</v>
      </c>
      <c r="K20" s="33" t="s">
        <v>92</v>
      </c>
      <c r="L20" s="32" t="s">
        <v>92</v>
      </c>
    </row>
  </sheetData>
  <autoFilter ref="A3:L20"/>
  <mergeCells count="2">
    <mergeCell ref="A1:L1"/>
    <mergeCell ref="A2:L2"/>
  </mergeCells>
  <conditionalFormatting sqref="I4:I20">
    <cfRule type="cellIs" dxfId="38" priority="1" operator="equal">
      <formula>"Pass"</formula>
    </cfRule>
    <cfRule type="cellIs" dxfId="39" priority="2" operator="equal">
      <formula>"Fail"</formula>
    </cfRule>
    <cfRule type="cellIs" dxfId="40" priority="3" operator="equal">
      <formula>"Blocked"</formula>
    </cfRule>
    <cfRule type="cellIs" dxfId="41" priority="4" operator="equal">
      <formula>"N/A"</formula>
    </cfRule>
    <cfRule type="cellIs" dxfId="42" priority="5" operator="equal">
      <formula>"Not run"</formula>
    </cfRule>
  </conditionalFormatting>
  <conditionalFormatting sqref="D4:D20">
    <cfRule type="cellIs" dxfId="43" priority="6" operator="equal">
      <formula>"High"</formula>
    </cfRule>
  </conditionalFormatting>
  <dataValidations count="2">
    <dataValidation type="list" allowBlank="1" sqref="D4:D20">
      <formula1>"High,Medium,Low"</formula1>
    </dataValidation>
    <dataValidation type="list" showErrorMessage="1" errorTitle="Pick a status" error="Use Not run, Pass, Fail, Blocked or N/A." sqref="I4:I20">
      <formula1>"Not run,Pass,Fail,Blocked,N/A"</formula1>
    </dataValidation>
  </dataValidations>
  <pageMargins left="0.3" right="0.3" top="0.4" bottom="0.4" header="0.2" footer="0.2"/>
  <pageSetup orientation="landscape" fitToWidth="1" fitToHeight="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L14"/>
  <sheetViews>
    <sheetView workbookViewId="0" showGridLines="0">
      <pane xSplit="1" ySplit="3" topLeftCell="B4" activePane="bottomRight" state="frozen"/>
      <selection pane="bottomRight"/>
    </sheetView>
  </sheetViews>
  <sheetFormatPr defaultRowHeight="15" outlineLevelRow="0" outlineLevelCol="0" x14ac:dyDescent="55"/>
  <cols>
    <col min="2" max="2" width="26" customWidth="1"/>
    <col min="3" max="3" width="34" customWidth="1"/>
    <col min="5" max="5" width="30" customWidth="1"/>
    <col min="6" max="6" width="56" customWidth="1"/>
    <col min="7" max="7" width="46" customWidth="1"/>
    <col min="8" max="8" width="26" customWidth="1"/>
    <col min="9" max="9" width="11" customWidth="1"/>
    <col min="10" max="10" width="13" customWidth="1"/>
    <col min="11" max="11" width="11" customWidth="1"/>
    <col min="12" max="12" width="24" customWidth="1"/>
  </cols>
  <sheetData>
    <row r="1" ht="26" customHeight="1" spans="1:12" x14ac:dyDescent="0.25">
      <c r="A1" s="1" t="s">
        <v>696</v>
      </c>
      <c r="B1" s="1"/>
      <c r="C1" s="1"/>
      <c r="D1" s="1"/>
      <c r="E1" s="1"/>
      <c r="F1" s="1"/>
      <c r="G1" s="1"/>
      <c r="H1" s="1"/>
      <c r="I1" s="1"/>
      <c r="J1" s="1"/>
      <c r="K1" s="1"/>
      <c r="L1" s="1"/>
    </row>
    <row r="2" ht="18" customHeight="1" spans="1:12" x14ac:dyDescent="0.25">
      <c r="A2" s="2" t="s">
        <v>697</v>
      </c>
      <c r="B2" s="2"/>
      <c r="C2" s="2"/>
      <c r="D2" s="2"/>
      <c r="E2" s="2"/>
      <c r="F2" s="2"/>
      <c r="G2" s="2"/>
      <c r="H2" s="2"/>
      <c r="I2" s="2"/>
      <c r="J2" s="2"/>
      <c r="K2" s="2"/>
      <c r="L2" s="2"/>
    </row>
    <row r="3" ht="24" customHeight="1" spans="1:12" x14ac:dyDescent="0.25">
      <c r="A3" s="36" t="s">
        <v>189</v>
      </c>
      <c r="B3" s="36" t="s">
        <v>190</v>
      </c>
      <c r="C3" s="36" t="s">
        <v>191</v>
      </c>
      <c r="D3" s="36" t="s">
        <v>54</v>
      </c>
      <c r="E3" s="36" t="s">
        <v>192</v>
      </c>
      <c r="F3" s="36" t="s">
        <v>193</v>
      </c>
      <c r="G3" s="36" t="s">
        <v>194</v>
      </c>
      <c r="H3" s="36" t="s">
        <v>195</v>
      </c>
      <c r="I3" s="36" t="s">
        <v>196</v>
      </c>
      <c r="J3" s="36" t="s">
        <v>14</v>
      </c>
      <c r="K3" s="36" t="s">
        <v>93</v>
      </c>
      <c r="L3" s="36" t="s">
        <v>197</v>
      </c>
    </row>
    <row r="4" ht="69" customHeight="1" spans="1:12" x14ac:dyDescent="0.25">
      <c r="A4" s="23" t="s">
        <v>698</v>
      </c>
      <c r="B4" s="24" t="s">
        <v>699</v>
      </c>
      <c r="C4" s="24" t="s">
        <v>700</v>
      </c>
      <c r="D4" s="31" t="s">
        <v>201</v>
      </c>
      <c r="E4" s="24" t="s">
        <v>701</v>
      </c>
      <c r="F4" s="24" t="s">
        <v>702</v>
      </c>
      <c r="G4" s="24" t="s">
        <v>703</v>
      </c>
      <c r="H4" s="32" t="s">
        <v>92</v>
      </c>
      <c r="I4" s="31" t="s">
        <v>44</v>
      </c>
      <c r="J4" s="24" t="s">
        <v>92</v>
      </c>
      <c r="K4" s="33" t="s">
        <v>92</v>
      </c>
      <c r="L4" s="32" t="s">
        <v>92</v>
      </c>
    </row>
    <row r="5" ht="56.4" customHeight="1" spans="1:12" x14ac:dyDescent="0.25">
      <c r="A5" s="26" t="s">
        <v>704</v>
      </c>
      <c r="B5" s="27" t="s">
        <v>705</v>
      </c>
      <c r="C5" s="27" t="s">
        <v>706</v>
      </c>
      <c r="D5" s="34" t="s">
        <v>201</v>
      </c>
      <c r="E5" s="27" t="s">
        <v>255</v>
      </c>
      <c r="F5" s="27" t="s">
        <v>707</v>
      </c>
      <c r="G5" s="27" t="s">
        <v>708</v>
      </c>
      <c r="H5" s="32" t="s">
        <v>92</v>
      </c>
      <c r="I5" s="34" t="s">
        <v>44</v>
      </c>
      <c r="J5" s="27" t="s">
        <v>92</v>
      </c>
      <c r="K5" s="35" t="s">
        <v>92</v>
      </c>
      <c r="L5" s="32" t="s">
        <v>92</v>
      </c>
    </row>
    <row r="6" ht="69" customHeight="1" spans="1:12" x14ac:dyDescent="0.25">
      <c r="A6" s="23" t="s">
        <v>709</v>
      </c>
      <c r="B6" s="24" t="s">
        <v>710</v>
      </c>
      <c r="C6" s="24" t="s">
        <v>711</v>
      </c>
      <c r="D6" s="31" t="s">
        <v>201</v>
      </c>
      <c r="E6" s="24" t="s">
        <v>712</v>
      </c>
      <c r="F6" s="24" t="s">
        <v>713</v>
      </c>
      <c r="G6" s="24" t="s">
        <v>714</v>
      </c>
      <c r="H6" s="32" t="s">
        <v>92</v>
      </c>
      <c r="I6" s="31" t="s">
        <v>44</v>
      </c>
      <c r="J6" s="24" t="s">
        <v>92</v>
      </c>
      <c r="K6" s="33" t="s">
        <v>92</v>
      </c>
      <c r="L6" s="32" t="s">
        <v>92</v>
      </c>
    </row>
    <row r="7" ht="43.8" customHeight="1" spans="1:12" x14ac:dyDescent="0.25">
      <c r="A7" s="26" t="s">
        <v>715</v>
      </c>
      <c r="B7" s="27" t="s">
        <v>716</v>
      </c>
      <c r="C7" s="27" t="s">
        <v>717</v>
      </c>
      <c r="D7" s="34" t="s">
        <v>201</v>
      </c>
      <c r="E7" s="27" t="s">
        <v>718</v>
      </c>
      <c r="F7" s="27" t="s">
        <v>719</v>
      </c>
      <c r="G7" s="27" t="s">
        <v>720</v>
      </c>
      <c r="H7" s="32" t="s">
        <v>92</v>
      </c>
      <c r="I7" s="34" t="s">
        <v>44</v>
      </c>
      <c r="J7" s="27" t="s">
        <v>92</v>
      </c>
      <c r="K7" s="35" t="s">
        <v>92</v>
      </c>
      <c r="L7" s="32" t="s">
        <v>92</v>
      </c>
    </row>
    <row r="8" ht="43.8" customHeight="1" spans="1:12" x14ac:dyDescent="0.25">
      <c r="A8" s="23" t="s">
        <v>721</v>
      </c>
      <c r="B8" s="24" t="s">
        <v>722</v>
      </c>
      <c r="C8" s="24" t="s">
        <v>723</v>
      </c>
      <c r="D8" s="31" t="s">
        <v>201</v>
      </c>
      <c r="E8" s="24" t="s">
        <v>255</v>
      </c>
      <c r="F8" s="24" t="s">
        <v>724</v>
      </c>
      <c r="G8" s="24" t="s">
        <v>725</v>
      </c>
      <c r="H8" s="32" t="s">
        <v>92</v>
      </c>
      <c r="I8" s="31" t="s">
        <v>44</v>
      </c>
      <c r="J8" s="24" t="s">
        <v>92</v>
      </c>
      <c r="K8" s="33" t="s">
        <v>92</v>
      </c>
      <c r="L8" s="32" t="s">
        <v>92</v>
      </c>
    </row>
    <row r="9" ht="69" customHeight="1" spans="1:12" x14ac:dyDescent="0.25">
      <c r="A9" s="26" t="s">
        <v>726</v>
      </c>
      <c r="B9" s="27" t="s">
        <v>727</v>
      </c>
      <c r="C9" s="27" t="s">
        <v>728</v>
      </c>
      <c r="D9" s="34" t="s">
        <v>201</v>
      </c>
      <c r="E9" s="27" t="s">
        <v>729</v>
      </c>
      <c r="F9" s="27" t="s">
        <v>730</v>
      </c>
      <c r="G9" s="27" t="s">
        <v>731</v>
      </c>
      <c r="H9" s="32" t="s">
        <v>92</v>
      </c>
      <c r="I9" s="34" t="s">
        <v>44</v>
      </c>
      <c r="J9" s="27" t="s">
        <v>92</v>
      </c>
      <c r="K9" s="35" t="s">
        <v>92</v>
      </c>
      <c r="L9" s="32" t="s">
        <v>92</v>
      </c>
    </row>
    <row r="10" ht="81.6" customHeight="1" spans="1:12" x14ac:dyDescent="0.25">
      <c r="A10" s="23" t="s">
        <v>732</v>
      </c>
      <c r="B10" s="24" t="s">
        <v>733</v>
      </c>
      <c r="C10" s="24" t="s">
        <v>734</v>
      </c>
      <c r="D10" s="31" t="s">
        <v>201</v>
      </c>
      <c r="E10" s="24" t="s">
        <v>735</v>
      </c>
      <c r="F10" s="24" t="s">
        <v>736</v>
      </c>
      <c r="G10" s="24" t="s">
        <v>737</v>
      </c>
      <c r="H10" s="32" t="s">
        <v>92</v>
      </c>
      <c r="I10" s="31" t="s">
        <v>44</v>
      </c>
      <c r="J10" s="24" t="s">
        <v>92</v>
      </c>
      <c r="K10" s="33" t="s">
        <v>92</v>
      </c>
      <c r="L10" s="32" t="s">
        <v>92</v>
      </c>
    </row>
    <row r="11" ht="43.8" customHeight="1" spans="1:12" x14ac:dyDescent="0.25">
      <c r="A11" s="26" t="s">
        <v>738</v>
      </c>
      <c r="B11" s="27" t="s">
        <v>739</v>
      </c>
      <c r="C11" s="27" t="s">
        <v>740</v>
      </c>
      <c r="D11" s="34" t="s">
        <v>201</v>
      </c>
      <c r="E11" s="27" t="s">
        <v>741</v>
      </c>
      <c r="F11" s="27" t="s">
        <v>742</v>
      </c>
      <c r="G11" s="27" t="s">
        <v>743</v>
      </c>
      <c r="H11" s="32" t="s">
        <v>92</v>
      </c>
      <c r="I11" s="34" t="s">
        <v>44</v>
      </c>
      <c r="J11" s="27" t="s">
        <v>92</v>
      </c>
      <c r="K11" s="35" t="s">
        <v>92</v>
      </c>
      <c r="L11" s="32" t="s">
        <v>92</v>
      </c>
    </row>
    <row r="12" ht="56.4" customHeight="1" spans="1:12" x14ac:dyDescent="0.25">
      <c r="A12" s="23" t="s">
        <v>744</v>
      </c>
      <c r="B12" s="24" t="s">
        <v>745</v>
      </c>
      <c r="C12" s="24" t="s">
        <v>746</v>
      </c>
      <c r="D12" s="31" t="s">
        <v>201</v>
      </c>
      <c r="E12" s="24" t="s">
        <v>718</v>
      </c>
      <c r="F12" s="24" t="s">
        <v>747</v>
      </c>
      <c r="G12" s="24" t="s">
        <v>748</v>
      </c>
      <c r="H12" s="32" t="s">
        <v>92</v>
      </c>
      <c r="I12" s="31" t="s">
        <v>44</v>
      </c>
      <c r="J12" s="24" t="s">
        <v>92</v>
      </c>
      <c r="K12" s="33" t="s">
        <v>92</v>
      </c>
      <c r="L12" s="32" t="s">
        <v>92</v>
      </c>
    </row>
    <row r="13" ht="69" customHeight="1" spans="1:12" x14ac:dyDescent="0.25">
      <c r="A13" s="26" t="s">
        <v>749</v>
      </c>
      <c r="B13" s="27" t="s">
        <v>750</v>
      </c>
      <c r="C13" s="27" t="s">
        <v>751</v>
      </c>
      <c r="D13" s="34" t="s">
        <v>201</v>
      </c>
      <c r="E13" s="27" t="s">
        <v>752</v>
      </c>
      <c r="F13" s="27" t="s">
        <v>753</v>
      </c>
      <c r="G13" s="27" t="s">
        <v>754</v>
      </c>
      <c r="H13" s="32" t="s">
        <v>92</v>
      </c>
      <c r="I13" s="34" t="s">
        <v>44</v>
      </c>
      <c r="J13" s="27" t="s">
        <v>92</v>
      </c>
      <c r="K13" s="35" t="s">
        <v>92</v>
      </c>
      <c r="L13" s="32" t="s">
        <v>92</v>
      </c>
    </row>
    <row r="14" ht="56.4" customHeight="1" spans="1:12" x14ac:dyDescent="0.25">
      <c r="A14" s="23" t="s">
        <v>755</v>
      </c>
      <c r="B14" s="24" t="s">
        <v>756</v>
      </c>
      <c r="C14" s="24" t="s">
        <v>757</v>
      </c>
      <c r="D14" s="31" t="s">
        <v>214</v>
      </c>
      <c r="E14" s="24" t="s">
        <v>758</v>
      </c>
      <c r="F14" s="24" t="s">
        <v>759</v>
      </c>
      <c r="G14" s="24" t="s">
        <v>760</v>
      </c>
      <c r="H14" s="32" t="s">
        <v>92</v>
      </c>
      <c r="I14" s="31" t="s">
        <v>44</v>
      </c>
      <c r="J14" s="24" t="s">
        <v>92</v>
      </c>
      <c r="K14" s="33" t="s">
        <v>92</v>
      </c>
      <c r="L14" s="32" t="s">
        <v>92</v>
      </c>
    </row>
  </sheetData>
  <autoFilter ref="A3:L14"/>
  <mergeCells count="2">
    <mergeCell ref="A1:L1"/>
    <mergeCell ref="A2:L2"/>
  </mergeCells>
  <conditionalFormatting sqref="I4:I14">
    <cfRule type="cellIs" dxfId="44" priority="1" operator="equal">
      <formula>"Pass"</formula>
    </cfRule>
    <cfRule type="cellIs" dxfId="45" priority="2" operator="equal">
      <formula>"Fail"</formula>
    </cfRule>
    <cfRule type="cellIs" dxfId="46" priority="3" operator="equal">
      <formula>"Blocked"</formula>
    </cfRule>
    <cfRule type="cellIs" dxfId="47" priority="4" operator="equal">
      <formula>"N/A"</formula>
    </cfRule>
    <cfRule type="cellIs" dxfId="48" priority="5" operator="equal">
      <formula>"Not run"</formula>
    </cfRule>
  </conditionalFormatting>
  <conditionalFormatting sqref="D4:D14">
    <cfRule type="cellIs" dxfId="49" priority="6" operator="equal">
      <formula>"High"</formula>
    </cfRule>
  </conditionalFormatting>
  <dataValidations count="2">
    <dataValidation type="list" allowBlank="1" sqref="D4:D14">
      <formula1>"High,Medium,Low"</formula1>
    </dataValidation>
    <dataValidation type="list" showErrorMessage="1" errorTitle="Pick a status" error="Use Not run, Pass, Fail, Blocked or N/A." sqref="I4:I14">
      <formula1>"Not run,Pass,Fail,Blocked,N/A"</formula1>
    </dataValidation>
  </dataValidations>
  <pageMargins left="0.3" right="0.3" top="0.4" bottom="0.4" header="0.2" footer="0.2"/>
  <pageSetup orientation="landscape" fitToWidth="1" fitToHeight="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L14"/>
  <sheetViews>
    <sheetView workbookViewId="0" showGridLines="0">
      <pane xSplit="1" ySplit="3" topLeftCell="B4" activePane="bottomRight" state="frozen"/>
      <selection pane="bottomRight"/>
    </sheetView>
  </sheetViews>
  <sheetFormatPr defaultRowHeight="15" outlineLevelRow="0" outlineLevelCol="0" x14ac:dyDescent="55"/>
  <cols>
    <col min="2" max="2" width="26" customWidth="1"/>
    <col min="3" max="3" width="34" customWidth="1"/>
    <col min="5" max="5" width="30" customWidth="1"/>
    <col min="6" max="6" width="56" customWidth="1"/>
    <col min="7" max="7" width="46" customWidth="1"/>
    <col min="8" max="8" width="26" customWidth="1"/>
    <col min="9" max="9" width="11" customWidth="1"/>
    <col min="10" max="10" width="13" customWidth="1"/>
    <col min="11" max="11" width="11" customWidth="1"/>
    <col min="12" max="12" width="24" customWidth="1"/>
  </cols>
  <sheetData>
    <row r="1" ht="26" customHeight="1" spans="1:12" x14ac:dyDescent="0.25">
      <c r="A1" s="1" t="s">
        <v>761</v>
      </c>
      <c r="B1" s="1"/>
      <c r="C1" s="1"/>
      <c r="D1" s="1"/>
      <c r="E1" s="1"/>
      <c r="F1" s="1"/>
      <c r="G1" s="1"/>
      <c r="H1" s="1"/>
      <c r="I1" s="1"/>
      <c r="J1" s="1"/>
      <c r="K1" s="1"/>
      <c r="L1" s="1"/>
    </row>
    <row r="2" ht="18" customHeight="1" spans="1:12" x14ac:dyDescent="0.25">
      <c r="A2" s="2" t="s">
        <v>762</v>
      </c>
      <c r="B2" s="2"/>
      <c r="C2" s="2"/>
      <c r="D2" s="2"/>
      <c r="E2" s="2"/>
      <c r="F2" s="2"/>
      <c r="G2" s="2"/>
      <c r="H2" s="2"/>
      <c r="I2" s="2"/>
      <c r="J2" s="2"/>
      <c r="K2" s="2"/>
      <c r="L2" s="2"/>
    </row>
    <row r="3" ht="24" customHeight="1" spans="1:12" x14ac:dyDescent="0.25">
      <c r="A3" s="36" t="s">
        <v>189</v>
      </c>
      <c r="B3" s="36" t="s">
        <v>190</v>
      </c>
      <c r="C3" s="36" t="s">
        <v>191</v>
      </c>
      <c r="D3" s="36" t="s">
        <v>54</v>
      </c>
      <c r="E3" s="36" t="s">
        <v>192</v>
      </c>
      <c r="F3" s="36" t="s">
        <v>193</v>
      </c>
      <c r="G3" s="36" t="s">
        <v>194</v>
      </c>
      <c r="H3" s="36" t="s">
        <v>195</v>
      </c>
      <c r="I3" s="36" t="s">
        <v>196</v>
      </c>
      <c r="J3" s="36" t="s">
        <v>14</v>
      </c>
      <c r="K3" s="36" t="s">
        <v>93</v>
      </c>
      <c r="L3" s="36" t="s">
        <v>197</v>
      </c>
    </row>
    <row r="4" ht="81.6" customHeight="1" spans="1:12" x14ac:dyDescent="0.25">
      <c r="A4" s="23" t="s">
        <v>763</v>
      </c>
      <c r="B4" s="24" t="s">
        <v>699</v>
      </c>
      <c r="C4" s="24" t="s">
        <v>764</v>
      </c>
      <c r="D4" s="31" t="s">
        <v>201</v>
      </c>
      <c r="E4" s="24" t="s">
        <v>765</v>
      </c>
      <c r="F4" s="24" t="s">
        <v>766</v>
      </c>
      <c r="G4" s="24" t="s">
        <v>767</v>
      </c>
      <c r="H4" s="32" t="s">
        <v>92</v>
      </c>
      <c r="I4" s="31" t="s">
        <v>44</v>
      </c>
      <c r="J4" s="24" t="s">
        <v>92</v>
      </c>
      <c r="K4" s="33" t="s">
        <v>92</v>
      </c>
      <c r="L4" s="32" t="s">
        <v>92</v>
      </c>
    </row>
    <row r="5" ht="69" customHeight="1" spans="1:12" x14ac:dyDescent="0.25">
      <c r="A5" s="26" t="s">
        <v>768</v>
      </c>
      <c r="B5" s="27" t="s">
        <v>769</v>
      </c>
      <c r="C5" s="27" t="s">
        <v>770</v>
      </c>
      <c r="D5" s="34" t="s">
        <v>201</v>
      </c>
      <c r="E5" s="27" t="s">
        <v>771</v>
      </c>
      <c r="F5" s="27" t="s">
        <v>772</v>
      </c>
      <c r="G5" s="27" t="s">
        <v>773</v>
      </c>
      <c r="H5" s="32" t="s">
        <v>92</v>
      </c>
      <c r="I5" s="34" t="s">
        <v>44</v>
      </c>
      <c r="J5" s="27" t="s">
        <v>92</v>
      </c>
      <c r="K5" s="35" t="s">
        <v>92</v>
      </c>
      <c r="L5" s="32" t="s">
        <v>92</v>
      </c>
    </row>
    <row r="6" ht="56.4" customHeight="1" spans="1:12" x14ac:dyDescent="0.25">
      <c r="A6" s="23" t="s">
        <v>774</v>
      </c>
      <c r="B6" s="24" t="s">
        <v>775</v>
      </c>
      <c r="C6" s="24" t="s">
        <v>776</v>
      </c>
      <c r="D6" s="31" t="s">
        <v>201</v>
      </c>
      <c r="E6" s="24" t="s">
        <v>777</v>
      </c>
      <c r="F6" s="24" t="s">
        <v>778</v>
      </c>
      <c r="G6" s="24" t="s">
        <v>779</v>
      </c>
      <c r="H6" s="32" t="s">
        <v>92</v>
      </c>
      <c r="I6" s="31" t="s">
        <v>44</v>
      </c>
      <c r="J6" s="24" t="s">
        <v>92</v>
      </c>
      <c r="K6" s="33" t="s">
        <v>92</v>
      </c>
      <c r="L6" s="32" t="s">
        <v>92</v>
      </c>
    </row>
    <row r="7" ht="56.4" customHeight="1" spans="1:12" x14ac:dyDescent="0.25">
      <c r="A7" s="26" t="s">
        <v>780</v>
      </c>
      <c r="B7" s="27" t="s">
        <v>781</v>
      </c>
      <c r="C7" s="27" t="s">
        <v>782</v>
      </c>
      <c r="D7" s="34" t="s">
        <v>201</v>
      </c>
      <c r="E7" s="27" t="s">
        <v>783</v>
      </c>
      <c r="F7" s="27" t="s">
        <v>784</v>
      </c>
      <c r="G7" s="27" t="s">
        <v>785</v>
      </c>
      <c r="H7" s="32" t="s">
        <v>92</v>
      </c>
      <c r="I7" s="34" t="s">
        <v>44</v>
      </c>
      <c r="J7" s="27" t="s">
        <v>92</v>
      </c>
      <c r="K7" s="35" t="s">
        <v>92</v>
      </c>
      <c r="L7" s="32" t="s">
        <v>92</v>
      </c>
    </row>
    <row r="8" ht="56.4" customHeight="1" spans="1:12" x14ac:dyDescent="0.25">
      <c r="A8" s="23" t="s">
        <v>786</v>
      </c>
      <c r="B8" s="24" t="s">
        <v>787</v>
      </c>
      <c r="C8" s="24" t="s">
        <v>788</v>
      </c>
      <c r="D8" s="31" t="s">
        <v>201</v>
      </c>
      <c r="E8" s="24" t="s">
        <v>789</v>
      </c>
      <c r="F8" s="24" t="s">
        <v>790</v>
      </c>
      <c r="G8" s="24" t="s">
        <v>791</v>
      </c>
      <c r="H8" s="32" t="s">
        <v>92</v>
      </c>
      <c r="I8" s="31" t="s">
        <v>44</v>
      </c>
      <c r="J8" s="24" t="s">
        <v>92</v>
      </c>
      <c r="K8" s="33" t="s">
        <v>92</v>
      </c>
      <c r="L8" s="32" t="s">
        <v>92</v>
      </c>
    </row>
    <row r="9" ht="69" customHeight="1" spans="1:12" x14ac:dyDescent="0.25">
      <c r="A9" s="26" t="s">
        <v>792</v>
      </c>
      <c r="B9" s="27" t="s">
        <v>793</v>
      </c>
      <c r="C9" s="27" t="s">
        <v>794</v>
      </c>
      <c r="D9" s="34" t="s">
        <v>201</v>
      </c>
      <c r="E9" s="27" t="s">
        <v>795</v>
      </c>
      <c r="F9" s="27" t="s">
        <v>796</v>
      </c>
      <c r="G9" s="27" t="s">
        <v>797</v>
      </c>
      <c r="H9" s="32" t="s">
        <v>92</v>
      </c>
      <c r="I9" s="34" t="s">
        <v>44</v>
      </c>
      <c r="J9" s="27" t="s">
        <v>92</v>
      </c>
      <c r="K9" s="35" t="s">
        <v>92</v>
      </c>
      <c r="L9" s="32" t="s">
        <v>92</v>
      </c>
    </row>
    <row r="10" ht="81.6" customHeight="1" spans="1:12" x14ac:dyDescent="0.25">
      <c r="A10" s="23" t="s">
        <v>798</v>
      </c>
      <c r="B10" s="24" t="s">
        <v>799</v>
      </c>
      <c r="C10" s="24" t="s">
        <v>800</v>
      </c>
      <c r="D10" s="31" t="s">
        <v>201</v>
      </c>
      <c r="E10" s="24" t="s">
        <v>789</v>
      </c>
      <c r="F10" s="24" t="s">
        <v>801</v>
      </c>
      <c r="G10" s="24" t="s">
        <v>802</v>
      </c>
      <c r="H10" s="32" t="s">
        <v>92</v>
      </c>
      <c r="I10" s="31" t="s">
        <v>44</v>
      </c>
      <c r="J10" s="24" t="s">
        <v>92</v>
      </c>
      <c r="K10" s="33" t="s">
        <v>92</v>
      </c>
      <c r="L10" s="32" t="s">
        <v>92</v>
      </c>
    </row>
    <row r="11" ht="69" customHeight="1" spans="1:12" x14ac:dyDescent="0.25">
      <c r="A11" s="26" t="s">
        <v>803</v>
      </c>
      <c r="B11" s="27" t="s">
        <v>739</v>
      </c>
      <c r="C11" s="27" t="s">
        <v>804</v>
      </c>
      <c r="D11" s="34" t="s">
        <v>201</v>
      </c>
      <c r="E11" s="27" t="s">
        <v>789</v>
      </c>
      <c r="F11" s="27" t="s">
        <v>805</v>
      </c>
      <c r="G11" s="27" t="s">
        <v>806</v>
      </c>
      <c r="H11" s="32" t="s">
        <v>92</v>
      </c>
      <c r="I11" s="34" t="s">
        <v>44</v>
      </c>
      <c r="J11" s="27" t="s">
        <v>92</v>
      </c>
      <c r="K11" s="35" t="s">
        <v>92</v>
      </c>
      <c r="L11" s="32" t="s">
        <v>92</v>
      </c>
    </row>
    <row r="12" ht="43.8" customHeight="1" spans="1:12" x14ac:dyDescent="0.25">
      <c r="A12" s="23" t="s">
        <v>807</v>
      </c>
      <c r="B12" s="24" t="s">
        <v>808</v>
      </c>
      <c r="C12" s="24" t="s">
        <v>809</v>
      </c>
      <c r="D12" s="31" t="s">
        <v>201</v>
      </c>
      <c r="E12" s="24" t="s">
        <v>718</v>
      </c>
      <c r="F12" s="24" t="s">
        <v>810</v>
      </c>
      <c r="G12" s="24" t="s">
        <v>811</v>
      </c>
      <c r="H12" s="32" t="s">
        <v>92</v>
      </c>
      <c r="I12" s="31" t="s">
        <v>44</v>
      </c>
      <c r="J12" s="24" t="s">
        <v>92</v>
      </c>
      <c r="K12" s="33" t="s">
        <v>92</v>
      </c>
      <c r="L12" s="32" t="s">
        <v>92</v>
      </c>
    </row>
    <row r="13" ht="69" customHeight="1" spans="1:12" x14ac:dyDescent="0.25">
      <c r="A13" s="26" t="s">
        <v>812</v>
      </c>
      <c r="B13" s="27" t="s">
        <v>813</v>
      </c>
      <c r="C13" s="27" t="s">
        <v>814</v>
      </c>
      <c r="D13" s="34" t="s">
        <v>201</v>
      </c>
      <c r="E13" s="27" t="s">
        <v>815</v>
      </c>
      <c r="F13" s="27" t="s">
        <v>816</v>
      </c>
      <c r="G13" s="27" t="s">
        <v>817</v>
      </c>
      <c r="H13" s="32" t="s">
        <v>92</v>
      </c>
      <c r="I13" s="34" t="s">
        <v>44</v>
      </c>
      <c r="J13" s="27" t="s">
        <v>92</v>
      </c>
      <c r="K13" s="35" t="s">
        <v>92</v>
      </c>
      <c r="L13" s="32" t="s">
        <v>92</v>
      </c>
    </row>
    <row r="14" ht="69" customHeight="1" spans="1:12" x14ac:dyDescent="0.25">
      <c r="A14" s="23" t="s">
        <v>818</v>
      </c>
      <c r="B14" s="24" t="s">
        <v>819</v>
      </c>
      <c r="C14" s="24" t="s">
        <v>820</v>
      </c>
      <c r="D14" s="31" t="s">
        <v>201</v>
      </c>
      <c r="E14" s="24" t="s">
        <v>821</v>
      </c>
      <c r="F14" s="24" t="s">
        <v>822</v>
      </c>
      <c r="G14" s="24" t="s">
        <v>823</v>
      </c>
      <c r="H14" s="32" t="s">
        <v>92</v>
      </c>
      <c r="I14" s="31" t="s">
        <v>44</v>
      </c>
      <c r="J14" s="24" t="s">
        <v>92</v>
      </c>
      <c r="K14" s="33" t="s">
        <v>92</v>
      </c>
      <c r="L14" s="32" t="s">
        <v>92</v>
      </c>
    </row>
  </sheetData>
  <autoFilter ref="A3:L14"/>
  <mergeCells count="2">
    <mergeCell ref="A1:L1"/>
    <mergeCell ref="A2:L2"/>
  </mergeCells>
  <conditionalFormatting sqref="I4:I14">
    <cfRule type="cellIs" dxfId="50" priority="1" operator="equal">
      <formula>"Pass"</formula>
    </cfRule>
    <cfRule type="cellIs" dxfId="51" priority="2" operator="equal">
      <formula>"Fail"</formula>
    </cfRule>
    <cfRule type="cellIs" dxfId="52" priority="3" operator="equal">
      <formula>"Blocked"</formula>
    </cfRule>
    <cfRule type="cellIs" dxfId="53" priority="4" operator="equal">
      <formula>"N/A"</formula>
    </cfRule>
    <cfRule type="cellIs" dxfId="54" priority="5" operator="equal">
      <formula>"Not run"</formula>
    </cfRule>
  </conditionalFormatting>
  <conditionalFormatting sqref="D4:D14">
    <cfRule type="cellIs" dxfId="55" priority="6" operator="equal">
      <formula>"High"</formula>
    </cfRule>
  </conditionalFormatting>
  <dataValidations count="2">
    <dataValidation type="list" allowBlank="1" sqref="D4:D14">
      <formula1>"High,Medium,Low"</formula1>
    </dataValidation>
    <dataValidation type="list" showErrorMessage="1" errorTitle="Pick a status" error="Use Not run, Pass, Fail, Blocked or N/A." sqref="I4:I14">
      <formula1>"Not run,Pass,Fail,Blocked,N/A"</formula1>
    </dataValidation>
  </dataValidations>
  <pageMargins left="0.3" right="0.3" top="0.4" bottom="0.4" header="0.2" footer="0.2"/>
  <pageSetup orientation="landscape" fitToWidth="1" fitToHeight="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L15"/>
  <sheetViews>
    <sheetView workbookViewId="0" showGridLines="0">
      <pane xSplit="1" ySplit="3" topLeftCell="B4" activePane="bottomRight" state="frozen"/>
      <selection pane="bottomRight"/>
    </sheetView>
  </sheetViews>
  <sheetFormatPr defaultRowHeight="15" outlineLevelRow="0" outlineLevelCol="0" x14ac:dyDescent="55"/>
  <cols>
    <col min="2" max="2" width="26" customWidth="1"/>
    <col min="3" max="3" width="34" customWidth="1"/>
    <col min="5" max="5" width="30" customWidth="1"/>
    <col min="6" max="6" width="56" customWidth="1"/>
    <col min="7" max="7" width="46" customWidth="1"/>
    <col min="8" max="8" width="26" customWidth="1"/>
    <col min="9" max="9" width="11" customWidth="1"/>
    <col min="10" max="10" width="13" customWidth="1"/>
    <col min="11" max="11" width="11" customWidth="1"/>
    <col min="12" max="12" width="24" customWidth="1"/>
  </cols>
  <sheetData>
    <row r="1" ht="26" customHeight="1" spans="1:12" x14ac:dyDescent="0.25">
      <c r="A1" s="1" t="s">
        <v>824</v>
      </c>
      <c r="B1" s="1"/>
      <c r="C1" s="1"/>
      <c r="D1" s="1"/>
      <c r="E1" s="1"/>
      <c r="F1" s="1"/>
      <c r="G1" s="1"/>
      <c r="H1" s="1"/>
      <c r="I1" s="1"/>
      <c r="J1" s="1"/>
      <c r="K1" s="1"/>
      <c r="L1" s="1"/>
    </row>
    <row r="2" ht="18" customHeight="1" spans="1:12" x14ac:dyDescent="0.25">
      <c r="A2" s="2" t="s">
        <v>825</v>
      </c>
      <c r="B2" s="2"/>
      <c r="C2" s="2"/>
      <c r="D2" s="2"/>
      <c r="E2" s="2"/>
      <c r="F2" s="2"/>
      <c r="G2" s="2"/>
      <c r="H2" s="2"/>
      <c r="I2" s="2"/>
      <c r="J2" s="2"/>
      <c r="K2" s="2"/>
      <c r="L2" s="2"/>
    </row>
    <row r="3" ht="24" customHeight="1" spans="1:12" x14ac:dyDescent="0.25">
      <c r="A3" s="7" t="s">
        <v>189</v>
      </c>
      <c r="B3" s="7" t="s">
        <v>190</v>
      </c>
      <c r="C3" s="7" t="s">
        <v>191</v>
      </c>
      <c r="D3" s="7" t="s">
        <v>54</v>
      </c>
      <c r="E3" s="7" t="s">
        <v>192</v>
      </c>
      <c r="F3" s="7" t="s">
        <v>193</v>
      </c>
      <c r="G3" s="7" t="s">
        <v>194</v>
      </c>
      <c r="H3" s="7" t="s">
        <v>195</v>
      </c>
      <c r="I3" s="7" t="s">
        <v>196</v>
      </c>
      <c r="J3" s="7" t="s">
        <v>14</v>
      </c>
      <c r="K3" s="7" t="s">
        <v>93</v>
      </c>
      <c r="L3" s="7" t="s">
        <v>197</v>
      </c>
    </row>
    <row r="4" ht="69" customHeight="1" spans="1:12" x14ac:dyDescent="0.25">
      <c r="A4" s="23" t="s">
        <v>826</v>
      </c>
      <c r="B4" s="24" t="s">
        <v>827</v>
      </c>
      <c r="C4" s="24" t="s">
        <v>828</v>
      </c>
      <c r="D4" s="31" t="s">
        <v>201</v>
      </c>
      <c r="E4" s="24" t="s">
        <v>829</v>
      </c>
      <c r="F4" s="24" t="s">
        <v>830</v>
      </c>
      <c r="G4" s="24" t="s">
        <v>831</v>
      </c>
      <c r="H4" s="32" t="s">
        <v>92</v>
      </c>
      <c r="I4" s="31" t="s">
        <v>44</v>
      </c>
      <c r="J4" s="24" t="s">
        <v>92</v>
      </c>
      <c r="K4" s="33" t="s">
        <v>92</v>
      </c>
      <c r="L4" s="32" t="s">
        <v>92</v>
      </c>
    </row>
    <row r="5" ht="56.4" customHeight="1" spans="1:12" x14ac:dyDescent="0.25">
      <c r="A5" s="26" t="s">
        <v>832</v>
      </c>
      <c r="B5" s="27" t="s">
        <v>833</v>
      </c>
      <c r="C5" s="27" t="s">
        <v>834</v>
      </c>
      <c r="D5" s="34" t="s">
        <v>201</v>
      </c>
      <c r="E5" s="27" t="s">
        <v>835</v>
      </c>
      <c r="F5" s="27" t="s">
        <v>836</v>
      </c>
      <c r="G5" s="27" t="s">
        <v>837</v>
      </c>
      <c r="H5" s="32" t="s">
        <v>92</v>
      </c>
      <c r="I5" s="34" t="s">
        <v>44</v>
      </c>
      <c r="J5" s="27" t="s">
        <v>92</v>
      </c>
      <c r="K5" s="35" t="s">
        <v>92</v>
      </c>
      <c r="L5" s="32" t="s">
        <v>92</v>
      </c>
    </row>
    <row r="6" ht="56.4" customHeight="1" spans="1:12" x14ac:dyDescent="0.25">
      <c r="A6" s="23" t="s">
        <v>838</v>
      </c>
      <c r="B6" s="24" t="s">
        <v>839</v>
      </c>
      <c r="C6" s="24" t="s">
        <v>840</v>
      </c>
      <c r="D6" s="31" t="s">
        <v>214</v>
      </c>
      <c r="E6" s="24" t="s">
        <v>841</v>
      </c>
      <c r="F6" s="24" t="s">
        <v>842</v>
      </c>
      <c r="G6" s="24" t="s">
        <v>843</v>
      </c>
      <c r="H6" s="32" t="s">
        <v>92</v>
      </c>
      <c r="I6" s="31" t="s">
        <v>44</v>
      </c>
      <c r="J6" s="24" t="s">
        <v>92</v>
      </c>
      <c r="K6" s="33" t="s">
        <v>92</v>
      </c>
      <c r="L6" s="32" t="s">
        <v>92</v>
      </c>
    </row>
    <row r="7" ht="43.8" customHeight="1" spans="1:12" x14ac:dyDescent="0.25">
      <c r="A7" s="26" t="s">
        <v>844</v>
      </c>
      <c r="B7" s="27" t="s">
        <v>845</v>
      </c>
      <c r="C7" s="27" t="s">
        <v>846</v>
      </c>
      <c r="D7" s="34" t="s">
        <v>201</v>
      </c>
      <c r="E7" s="27" t="s">
        <v>847</v>
      </c>
      <c r="F7" s="27" t="s">
        <v>848</v>
      </c>
      <c r="G7" s="27" t="s">
        <v>849</v>
      </c>
      <c r="H7" s="32" t="s">
        <v>92</v>
      </c>
      <c r="I7" s="34" t="s">
        <v>44</v>
      </c>
      <c r="J7" s="27" t="s">
        <v>92</v>
      </c>
      <c r="K7" s="35" t="s">
        <v>92</v>
      </c>
      <c r="L7" s="32" t="s">
        <v>92</v>
      </c>
    </row>
    <row r="8" ht="56.4" customHeight="1" spans="1:12" x14ac:dyDescent="0.25">
      <c r="A8" s="23" t="s">
        <v>850</v>
      </c>
      <c r="B8" s="24" t="s">
        <v>851</v>
      </c>
      <c r="C8" s="24" t="s">
        <v>852</v>
      </c>
      <c r="D8" s="31" t="s">
        <v>201</v>
      </c>
      <c r="E8" s="24" t="s">
        <v>853</v>
      </c>
      <c r="F8" s="24" t="s">
        <v>854</v>
      </c>
      <c r="G8" s="24" t="s">
        <v>855</v>
      </c>
      <c r="H8" s="32" t="s">
        <v>92</v>
      </c>
      <c r="I8" s="31" t="s">
        <v>44</v>
      </c>
      <c r="J8" s="24" t="s">
        <v>92</v>
      </c>
      <c r="K8" s="33" t="s">
        <v>92</v>
      </c>
      <c r="L8" s="32" t="s">
        <v>92</v>
      </c>
    </row>
    <row r="9" ht="43.8" customHeight="1" spans="1:12" x14ac:dyDescent="0.25">
      <c r="A9" s="26" t="s">
        <v>856</v>
      </c>
      <c r="B9" s="27" t="s">
        <v>857</v>
      </c>
      <c r="C9" s="27" t="s">
        <v>858</v>
      </c>
      <c r="D9" s="34" t="s">
        <v>214</v>
      </c>
      <c r="E9" s="27" t="s">
        <v>859</v>
      </c>
      <c r="F9" s="27" t="s">
        <v>860</v>
      </c>
      <c r="G9" s="27" t="s">
        <v>861</v>
      </c>
      <c r="H9" s="32" t="s">
        <v>92</v>
      </c>
      <c r="I9" s="34" t="s">
        <v>44</v>
      </c>
      <c r="J9" s="27" t="s">
        <v>92</v>
      </c>
      <c r="K9" s="35" t="s">
        <v>92</v>
      </c>
      <c r="L9" s="32" t="s">
        <v>92</v>
      </c>
    </row>
    <row r="10" ht="69" customHeight="1" spans="1:12" x14ac:dyDescent="0.25">
      <c r="A10" s="23" t="s">
        <v>862</v>
      </c>
      <c r="B10" s="24" t="s">
        <v>863</v>
      </c>
      <c r="C10" s="24" t="s">
        <v>864</v>
      </c>
      <c r="D10" s="31" t="s">
        <v>201</v>
      </c>
      <c r="E10" s="24" t="s">
        <v>865</v>
      </c>
      <c r="F10" s="24" t="s">
        <v>866</v>
      </c>
      <c r="G10" s="24" t="s">
        <v>867</v>
      </c>
      <c r="H10" s="32" t="s">
        <v>92</v>
      </c>
      <c r="I10" s="31" t="s">
        <v>44</v>
      </c>
      <c r="J10" s="24" t="s">
        <v>92</v>
      </c>
      <c r="K10" s="33" t="s">
        <v>92</v>
      </c>
      <c r="L10" s="32" t="s">
        <v>92</v>
      </c>
    </row>
    <row r="11" ht="56.4" customHeight="1" spans="1:12" x14ac:dyDescent="0.25">
      <c r="A11" s="26" t="s">
        <v>868</v>
      </c>
      <c r="B11" s="27" t="s">
        <v>869</v>
      </c>
      <c r="C11" s="27" t="s">
        <v>870</v>
      </c>
      <c r="D11" s="34" t="s">
        <v>214</v>
      </c>
      <c r="E11" s="27" t="s">
        <v>871</v>
      </c>
      <c r="F11" s="27" t="s">
        <v>872</v>
      </c>
      <c r="G11" s="27" t="s">
        <v>873</v>
      </c>
      <c r="H11" s="32" t="s">
        <v>92</v>
      </c>
      <c r="I11" s="34" t="s">
        <v>44</v>
      </c>
      <c r="J11" s="27" t="s">
        <v>92</v>
      </c>
      <c r="K11" s="35" t="s">
        <v>92</v>
      </c>
      <c r="L11" s="32" t="s">
        <v>92</v>
      </c>
    </row>
    <row r="12" ht="56.4" customHeight="1" spans="1:12" x14ac:dyDescent="0.25">
      <c r="A12" s="23" t="s">
        <v>874</v>
      </c>
      <c r="B12" s="24" t="s">
        <v>875</v>
      </c>
      <c r="C12" s="24" t="s">
        <v>876</v>
      </c>
      <c r="D12" s="31" t="s">
        <v>214</v>
      </c>
      <c r="E12" s="24" t="s">
        <v>877</v>
      </c>
      <c r="F12" s="24" t="s">
        <v>878</v>
      </c>
      <c r="G12" s="24" t="s">
        <v>879</v>
      </c>
      <c r="H12" s="32" t="s">
        <v>92</v>
      </c>
      <c r="I12" s="31" t="s">
        <v>44</v>
      </c>
      <c r="J12" s="24" t="s">
        <v>92</v>
      </c>
      <c r="K12" s="33" t="s">
        <v>92</v>
      </c>
      <c r="L12" s="32" t="s">
        <v>92</v>
      </c>
    </row>
    <row r="13" ht="43.8" customHeight="1" spans="1:12" x14ac:dyDescent="0.25">
      <c r="A13" s="26" t="s">
        <v>880</v>
      </c>
      <c r="B13" s="27" t="s">
        <v>881</v>
      </c>
      <c r="C13" s="27" t="s">
        <v>882</v>
      </c>
      <c r="D13" s="34" t="s">
        <v>214</v>
      </c>
      <c r="E13" s="27" t="s">
        <v>883</v>
      </c>
      <c r="F13" s="27" t="s">
        <v>884</v>
      </c>
      <c r="G13" s="27" t="s">
        <v>885</v>
      </c>
      <c r="H13" s="32" t="s">
        <v>92</v>
      </c>
      <c r="I13" s="34" t="s">
        <v>44</v>
      </c>
      <c r="J13" s="27" t="s">
        <v>92</v>
      </c>
      <c r="K13" s="35" t="s">
        <v>92</v>
      </c>
      <c r="L13" s="32" t="s">
        <v>92</v>
      </c>
    </row>
    <row r="14" ht="56.4" customHeight="1" spans="1:12" x14ac:dyDescent="0.25">
      <c r="A14" s="23" t="s">
        <v>886</v>
      </c>
      <c r="B14" s="24" t="s">
        <v>887</v>
      </c>
      <c r="C14" s="24" t="s">
        <v>888</v>
      </c>
      <c r="D14" s="31" t="s">
        <v>201</v>
      </c>
      <c r="E14" s="24" t="s">
        <v>889</v>
      </c>
      <c r="F14" s="24" t="s">
        <v>890</v>
      </c>
      <c r="G14" s="24" t="s">
        <v>891</v>
      </c>
      <c r="H14" s="32" t="s">
        <v>92</v>
      </c>
      <c r="I14" s="31" t="s">
        <v>44</v>
      </c>
      <c r="J14" s="24" t="s">
        <v>92</v>
      </c>
      <c r="K14" s="33" t="s">
        <v>92</v>
      </c>
      <c r="L14" s="32" t="s">
        <v>92</v>
      </c>
    </row>
    <row r="15" ht="56.4" customHeight="1" spans="1:12" x14ac:dyDescent="0.25">
      <c r="A15" s="26" t="s">
        <v>892</v>
      </c>
      <c r="B15" s="27" t="s">
        <v>893</v>
      </c>
      <c r="C15" s="27" t="s">
        <v>894</v>
      </c>
      <c r="D15" s="34" t="s">
        <v>214</v>
      </c>
      <c r="E15" s="27" t="s">
        <v>895</v>
      </c>
      <c r="F15" s="27" t="s">
        <v>896</v>
      </c>
      <c r="G15" s="27" t="s">
        <v>897</v>
      </c>
      <c r="H15" s="32" t="s">
        <v>92</v>
      </c>
      <c r="I15" s="34" t="s">
        <v>44</v>
      </c>
      <c r="J15" s="27" t="s">
        <v>92</v>
      </c>
      <c r="K15" s="35" t="s">
        <v>92</v>
      </c>
      <c r="L15" s="32" t="s">
        <v>92</v>
      </c>
    </row>
  </sheetData>
  <autoFilter ref="A3:L15"/>
  <mergeCells count="2">
    <mergeCell ref="A1:L1"/>
    <mergeCell ref="A2:L2"/>
  </mergeCells>
  <conditionalFormatting sqref="I4:I15">
    <cfRule type="cellIs" dxfId="56" priority="1" operator="equal">
      <formula>"Pass"</formula>
    </cfRule>
    <cfRule type="cellIs" dxfId="57" priority="2" operator="equal">
      <formula>"Fail"</formula>
    </cfRule>
    <cfRule type="cellIs" dxfId="58" priority="3" operator="equal">
      <formula>"Blocked"</formula>
    </cfRule>
    <cfRule type="cellIs" dxfId="59" priority="4" operator="equal">
      <formula>"N/A"</formula>
    </cfRule>
    <cfRule type="cellIs" dxfId="60" priority="5" operator="equal">
      <formula>"Not run"</formula>
    </cfRule>
  </conditionalFormatting>
  <conditionalFormatting sqref="D4:D15">
    <cfRule type="cellIs" dxfId="61" priority="6" operator="equal">
      <formula>"High"</formula>
    </cfRule>
  </conditionalFormatting>
  <dataValidations count="2">
    <dataValidation type="list" allowBlank="1" sqref="D4:D15">
      <formula1>"High,Medium,Low"</formula1>
    </dataValidation>
    <dataValidation type="list" showErrorMessage="1" errorTitle="Pick a status" error="Use Not run, Pass, Fail, Blocked or N/A." sqref="I4:I15">
      <formula1>"Not run,Pass,Fail,Blocked,N/A"</formula1>
    </dataValidation>
  </dataValidations>
  <pageMargins left="0.3" right="0.3" top="0.4" bottom="0.4" header="0.2" footer="0.2"/>
  <pageSetup orientation="landscape" fitToWidth="1" fitToHeight="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L13"/>
  <sheetViews>
    <sheetView workbookViewId="0" showGridLines="0">
      <pane xSplit="1" ySplit="3" topLeftCell="B4" activePane="bottomRight" state="frozen"/>
      <selection pane="bottomRight"/>
    </sheetView>
  </sheetViews>
  <sheetFormatPr defaultRowHeight="15" outlineLevelRow="0" outlineLevelCol="0" x14ac:dyDescent="55"/>
  <cols>
    <col min="2" max="2" width="26" customWidth="1"/>
    <col min="3" max="3" width="34" customWidth="1"/>
    <col min="5" max="5" width="30" customWidth="1"/>
    <col min="6" max="6" width="56" customWidth="1"/>
    <col min="7" max="7" width="46" customWidth="1"/>
    <col min="8" max="8" width="26" customWidth="1"/>
    <col min="9" max="9" width="11" customWidth="1"/>
    <col min="10" max="10" width="13" customWidth="1"/>
    <col min="11" max="11" width="11" customWidth="1"/>
    <col min="12" max="12" width="24" customWidth="1"/>
  </cols>
  <sheetData>
    <row r="1" ht="26" customHeight="1" spans="1:12" x14ac:dyDescent="0.25">
      <c r="A1" s="1" t="s">
        <v>898</v>
      </c>
      <c r="B1" s="1"/>
      <c r="C1" s="1"/>
      <c r="D1" s="1"/>
      <c r="E1" s="1"/>
      <c r="F1" s="1"/>
      <c r="G1" s="1"/>
      <c r="H1" s="1"/>
      <c r="I1" s="1"/>
      <c r="J1" s="1"/>
      <c r="K1" s="1"/>
      <c r="L1" s="1"/>
    </row>
    <row r="2" ht="18" customHeight="1" spans="1:12" x14ac:dyDescent="0.25">
      <c r="A2" s="2" t="s">
        <v>899</v>
      </c>
      <c r="B2" s="2"/>
      <c r="C2" s="2"/>
      <c r="D2" s="2"/>
      <c r="E2" s="2"/>
      <c r="F2" s="2"/>
      <c r="G2" s="2"/>
      <c r="H2" s="2"/>
      <c r="I2" s="2"/>
      <c r="J2" s="2"/>
      <c r="K2" s="2"/>
      <c r="L2" s="2"/>
    </row>
    <row r="3" ht="24" customHeight="1" spans="1:12" x14ac:dyDescent="0.25">
      <c r="A3" s="7" t="s">
        <v>189</v>
      </c>
      <c r="B3" s="7" t="s">
        <v>190</v>
      </c>
      <c r="C3" s="7" t="s">
        <v>191</v>
      </c>
      <c r="D3" s="7" t="s">
        <v>54</v>
      </c>
      <c r="E3" s="7" t="s">
        <v>192</v>
      </c>
      <c r="F3" s="7" t="s">
        <v>193</v>
      </c>
      <c r="G3" s="7" t="s">
        <v>194</v>
      </c>
      <c r="H3" s="7" t="s">
        <v>195</v>
      </c>
      <c r="I3" s="7" t="s">
        <v>196</v>
      </c>
      <c r="J3" s="7" t="s">
        <v>14</v>
      </c>
      <c r="K3" s="7" t="s">
        <v>93</v>
      </c>
      <c r="L3" s="7" t="s">
        <v>197</v>
      </c>
    </row>
    <row r="4" ht="43.8" customHeight="1" spans="1:12" x14ac:dyDescent="0.25">
      <c r="A4" s="23" t="s">
        <v>900</v>
      </c>
      <c r="B4" s="24" t="s">
        <v>901</v>
      </c>
      <c r="C4" s="24" t="s">
        <v>902</v>
      </c>
      <c r="D4" s="31" t="s">
        <v>201</v>
      </c>
      <c r="E4" s="24" t="s">
        <v>903</v>
      </c>
      <c r="F4" s="24" t="s">
        <v>904</v>
      </c>
      <c r="G4" s="24" t="s">
        <v>905</v>
      </c>
      <c r="H4" s="32" t="s">
        <v>92</v>
      </c>
      <c r="I4" s="31" t="s">
        <v>44</v>
      </c>
      <c r="J4" s="24" t="s">
        <v>92</v>
      </c>
      <c r="K4" s="33" t="s">
        <v>92</v>
      </c>
      <c r="L4" s="32" t="s">
        <v>92</v>
      </c>
    </row>
    <row r="5" ht="81.6" customHeight="1" spans="1:12" x14ac:dyDescent="0.25">
      <c r="A5" s="26" t="s">
        <v>906</v>
      </c>
      <c r="B5" s="27" t="s">
        <v>907</v>
      </c>
      <c r="C5" s="27" t="s">
        <v>908</v>
      </c>
      <c r="D5" s="34" t="s">
        <v>201</v>
      </c>
      <c r="E5" s="27" t="s">
        <v>909</v>
      </c>
      <c r="F5" s="27" t="s">
        <v>910</v>
      </c>
      <c r="G5" s="27" t="s">
        <v>911</v>
      </c>
      <c r="H5" s="32" t="s">
        <v>92</v>
      </c>
      <c r="I5" s="34" t="s">
        <v>44</v>
      </c>
      <c r="J5" s="27" t="s">
        <v>92</v>
      </c>
      <c r="K5" s="35" t="s">
        <v>92</v>
      </c>
      <c r="L5" s="32" t="s">
        <v>92</v>
      </c>
    </row>
    <row r="6" ht="31.2" customHeight="1" spans="1:12" x14ac:dyDescent="0.25">
      <c r="A6" s="23" t="s">
        <v>912</v>
      </c>
      <c r="B6" s="24" t="s">
        <v>913</v>
      </c>
      <c r="C6" s="24" t="s">
        <v>914</v>
      </c>
      <c r="D6" s="31" t="s">
        <v>214</v>
      </c>
      <c r="E6" s="24" t="s">
        <v>915</v>
      </c>
      <c r="F6" s="24" t="s">
        <v>916</v>
      </c>
      <c r="G6" s="24" t="s">
        <v>917</v>
      </c>
      <c r="H6" s="32" t="s">
        <v>92</v>
      </c>
      <c r="I6" s="31" t="s">
        <v>44</v>
      </c>
      <c r="J6" s="24" t="s">
        <v>92</v>
      </c>
      <c r="K6" s="33" t="s">
        <v>92</v>
      </c>
      <c r="L6" s="32" t="s">
        <v>92</v>
      </c>
    </row>
    <row r="7" ht="56.4" customHeight="1" spans="1:12" x14ac:dyDescent="0.25">
      <c r="A7" s="26" t="s">
        <v>918</v>
      </c>
      <c r="B7" s="27" t="s">
        <v>919</v>
      </c>
      <c r="C7" s="27" t="s">
        <v>920</v>
      </c>
      <c r="D7" s="34" t="s">
        <v>201</v>
      </c>
      <c r="E7" s="27" t="s">
        <v>304</v>
      </c>
      <c r="F7" s="27" t="s">
        <v>921</v>
      </c>
      <c r="G7" s="27" t="s">
        <v>922</v>
      </c>
      <c r="H7" s="32" t="s">
        <v>92</v>
      </c>
      <c r="I7" s="34" t="s">
        <v>44</v>
      </c>
      <c r="J7" s="27" t="s">
        <v>92</v>
      </c>
      <c r="K7" s="35" t="s">
        <v>92</v>
      </c>
      <c r="L7" s="32" t="s">
        <v>92</v>
      </c>
    </row>
    <row r="8" ht="43.8" customHeight="1" spans="1:12" x14ac:dyDescent="0.25">
      <c r="A8" s="23" t="s">
        <v>923</v>
      </c>
      <c r="B8" s="24" t="s">
        <v>924</v>
      </c>
      <c r="C8" s="24" t="s">
        <v>925</v>
      </c>
      <c r="D8" s="31" t="s">
        <v>214</v>
      </c>
      <c r="E8" s="24" t="s">
        <v>926</v>
      </c>
      <c r="F8" s="24" t="s">
        <v>927</v>
      </c>
      <c r="G8" s="24" t="s">
        <v>928</v>
      </c>
      <c r="H8" s="32" t="s">
        <v>92</v>
      </c>
      <c r="I8" s="31" t="s">
        <v>44</v>
      </c>
      <c r="J8" s="24" t="s">
        <v>92</v>
      </c>
      <c r="K8" s="33" t="s">
        <v>92</v>
      </c>
      <c r="L8" s="32" t="s">
        <v>92</v>
      </c>
    </row>
    <row r="9" ht="43.8" customHeight="1" spans="1:12" x14ac:dyDescent="0.25">
      <c r="A9" s="26" t="s">
        <v>929</v>
      </c>
      <c r="B9" s="27" t="s">
        <v>930</v>
      </c>
      <c r="C9" s="27" t="s">
        <v>931</v>
      </c>
      <c r="D9" s="34" t="s">
        <v>201</v>
      </c>
      <c r="E9" s="27" t="s">
        <v>932</v>
      </c>
      <c r="F9" s="27" t="s">
        <v>933</v>
      </c>
      <c r="G9" s="27" t="s">
        <v>934</v>
      </c>
      <c r="H9" s="32" t="s">
        <v>92</v>
      </c>
      <c r="I9" s="34" t="s">
        <v>44</v>
      </c>
      <c r="J9" s="27" t="s">
        <v>92</v>
      </c>
      <c r="K9" s="35" t="s">
        <v>92</v>
      </c>
      <c r="L9" s="32" t="s">
        <v>92</v>
      </c>
    </row>
    <row r="10" ht="43.8" customHeight="1" spans="1:12" x14ac:dyDescent="0.25">
      <c r="A10" s="23" t="s">
        <v>935</v>
      </c>
      <c r="B10" s="24" t="s">
        <v>936</v>
      </c>
      <c r="C10" s="24" t="s">
        <v>937</v>
      </c>
      <c r="D10" s="31" t="s">
        <v>201</v>
      </c>
      <c r="E10" s="24" t="s">
        <v>938</v>
      </c>
      <c r="F10" s="24" t="s">
        <v>939</v>
      </c>
      <c r="G10" s="24" t="s">
        <v>940</v>
      </c>
      <c r="H10" s="32" t="s">
        <v>92</v>
      </c>
      <c r="I10" s="31" t="s">
        <v>44</v>
      </c>
      <c r="J10" s="24" t="s">
        <v>92</v>
      </c>
      <c r="K10" s="33" t="s">
        <v>92</v>
      </c>
      <c r="L10" s="32" t="s">
        <v>92</v>
      </c>
    </row>
    <row r="11" ht="43.8" customHeight="1" spans="1:12" x14ac:dyDescent="0.25">
      <c r="A11" s="26" t="s">
        <v>941</v>
      </c>
      <c r="B11" s="27" t="s">
        <v>942</v>
      </c>
      <c r="C11" s="27" t="s">
        <v>943</v>
      </c>
      <c r="D11" s="34" t="s">
        <v>201</v>
      </c>
      <c r="E11" s="27" t="s">
        <v>944</v>
      </c>
      <c r="F11" s="27" t="s">
        <v>945</v>
      </c>
      <c r="G11" s="27" t="s">
        <v>946</v>
      </c>
      <c r="H11" s="32" t="s">
        <v>92</v>
      </c>
      <c r="I11" s="34" t="s">
        <v>44</v>
      </c>
      <c r="J11" s="27" t="s">
        <v>92</v>
      </c>
      <c r="K11" s="35" t="s">
        <v>92</v>
      </c>
      <c r="L11" s="32" t="s">
        <v>92</v>
      </c>
    </row>
    <row r="12" ht="31.2" customHeight="1" spans="1:12" x14ac:dyDescent="0.25">
      <c r="A12" s="23" t="s">
        <v>947</v>
      </c>
      <c r="B12" s="24" t="s">
        <v>948</v>
      </c>
      <c r="C12" s="24" t="s">
        <v>949</v>
      </c>
      <c r="D12" s="31" t="s">
        <v>201</v>
      </c>
      <c r="E12" s="24" t="s">
        <v>950</v>
      </c>
      <c r="F12" s="24" t="s">
        <v>951</v>
      </c>
      <c r="G12" s="24" t="s">
        <v>952</v>
      </c>
      <c r="H12" s="32" t="s">
        <v>92</v>
      </c>
      <c r="I12" s="31" t="s">
        <v>44</v>
      </c>
      <c r="J12" s="24" t="s">
        <v>92</v>
      </c>
      <c r="K12" s="33" t="s">
        <v>92</v>
      </c>
      <c r="L12" s="32" t="s">
        <v>92</v>
      </c>
    </row>
    <row r="13" ht="43.8" customHeight="1" spans="1:12" x14ac:dyDescent="0.25">
      <c r="A13" s="26" t="s">
        <v>953</v>
      </c>
      <c r="B13" s="27" t="s">
        <v>954</v>
      </c>
      <c r="C13" s="27" t="s">
        <v>955</v>
      </c>
      <c r="D13" s="34" t="s">
        <v>201</v>
      </c>
      <c r="E13" s="27" t="s">
        <v>956</v>
      </c>
      <c r="F13" s="27" t="s">
        <v>957</v>
      </c>
      <c r="G13" s="27" t="s">
        <v>958</v>
      </c>
      <c r="H13" s="32" t="s">
        <v>92</v>
      </c>
      <c r="I13" s="34" t="s">
        <v>44</v>
      </c>
      <c r="J13" s="27" t="s">
        <v>92</v>
      </c>
      <c r="K13" s="35" t="s">
        <v>92</v>
      </c>
      <c r="L13" s="32" t="s">
        <v>92</v>
      </c>
    </row>
  </sheetData>
  <autoFilter ref="A3:L13"/>
  <mergeCells count="2">
    <mergeCell ref="A1:L1"/>
    <mergeCell ref="A2:L2"/>
  </mergeCells>
  <conditionalFormatting sqref="I4:I13">
    <cfRule type="cellIs" dxfId="62" priority="1" operator="equal">
      <formula>"Pass"</formula>
    </cfRule>
    <cfRule type="cellIs" dxfId="63" priority="2" operator="equal">
      <formula>"Fail"</formula>
    </cfRule>
    <cfRule type="cellIs" dxfId="64" priority="3" operator="equal">
      <formula>"Blocked"</formula>
    </cfRule>
    <cfRule type="cellIs" dxfId="65" priority="4" operator="equal">
      <formula>"N/A"</formula>
    </cfRule>
    <cfRule type="cellIs" dxfId="66" priority="5" operator="equal">
      <formula>"Not run"</formula>
    </cfRule>
  </conditionalFormatting>
  <conditionalFormatting sqref="D4:D13">
    <cfRule type="cellIs" dxfId="67" priority="6" operator="equal">
      <formula>"High"</formula>
    </cfRule>
  </conditionalFormatting>
  <dataValidations count="2">
    <dataValidation type="list" allowBlank="1" sqref="D4:D13">
      <formula1>"High,Medium,Low"</formula1>
    </dataValidation>
    <dataValidation type="list" showErrorMessage="1" errorTitle="Pick a status" error="Use Not run, Pass, Fail, Blocked or N/A." sqref="I4:I13">
      <formula1>"Not run,Pass,Fail,Blocked,N/A"</formula1>
    </dataValidation>
  </dataValidations>
  <pageMargins left="0.3" right="0.3" top="0.4" bottom="0.4" header="0.2" footer="0.2"/>
  <pageSetup orientation="landscape" fitToWidth="1" fitToHeight="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I20"/>
  <sheetViews>
    <sheetView workbookViewId="0" showGridLines="0"/>
  </sheetViews>
  <sheetFormatPr defaultRowHeight="15" outlineLevelRow="0" outlineLevelCol="0" x14ac:dyDescent="55"/>
  <cols>
    <col min="1" max="1" width="18" customWidth="1"/>
    <col min="2" max="2" width="10" customWidth="1"/>
    <col min="5" max="5" width="10" customWidth="1"/>
    <col min="7" max="7" width="10" customWidth="1"/>
    <col min="8" max="8" width="12" customWidth="1"/>
    <col min="9" max="9" width="46" customWidth="1"/>
  </cols>
  <sheetData>
    <row r="1" ht="26" customHeight="1" spans="1:9" x14ac:dyDescent="0.25">
      <c r="A1" s="1" t="s">
        <v>63</v>
      </c>
      <c r="B1" s="1"/>
      <c r="C1" s="1"/>
      <c r="D1" s="1"/>
      <c r="E1" s="1"/>
      <c r="F1" s="1"/>
      <c r="G1" s="1"/>
      <c r="H1" s="1"/>
      <c r="I1" s="1"/>
    </row>
    <row r="2" ht="18" customHeight="1" spans="1:9" x14ac:dyDescent="0.25">
      <c r="A2" s="2" t="s">
        <v>64</v>
      </c>
      <c r="B2" s="2"/>
      <c r="C2" s="2"/>
      <c r="D2" s="2"/>
      <c r="E2" s="2"/>
      <c r="F2" s="2"/>
      <c r="G2" s="2"/>
      <c r="H2" s="2"/>
      <c r="I2" s="2"/>
    </row>
    <row r="3" ht="24" customHeight="1" spans="1:9" x14ac:dyDescent="0.25">
      <c r="A3" s="7" t="s">
        <v>65</v>
      </c>
      <c r="B3" s="7" t="s">
        <v>66</v>
      </c>
      <c r="C3" s="7" t="s">
        <v>46</v>
      </c>
      <c r="D3" s="7" t="s">
        <v>48</v>
      </c>
      <c r="E3" s="7" t="s">
        <v>50</v>
      </c>
      <c r="F3" s="7" t="s">
        <v>52</v>
      </c>
      <c r="G3" s="7" t="s">
        <v>44</v>
      </c>
      <c r="H3" s="7" t="s">
        <v>67</v>
      </c>
      <c r="I3" s="7" t="s">
        <v>68</v>
      </c>
    </row>
    <row r="4" ht="24" customHeight="1" spans="1:9" x14ac:dyDescent="0.25">
      <c r="A4" s="8" t="s">
        <v>69</v>
      </c>
      <c r="B4" s="9">
        <f>COUNTA('Creation'!$A$4:$A$17)</f>
        <v>14</v>
      </c>
      <c r="C4" s="9">
        <f>COUNTIF('Creation'!$I$4:$I$17,"Pass")</f>
        <v>0</v>
      </c>
      <c r="D4" s="9">
        <f>COUNTIF('Creation'!$I$4:$I$17,"Fail")</f>
        <v>0</v>
      </c>
      <c r="E4" s="9">
        <f>COUNTIF('Creation'!$I$4:$I$17,"Blocked")</f>
        <v>0</v>
      </c>
      <c r="F4" s="9">
        <f>COUNTIF('Creation'!$I$4:$I$17,"N/A")</f>
        <v>0</v>
      </c>
      <c r="G4" s="9">
        <f>COUNTIF('Creation'!$I$4:$I$17,"Not run")</f>
        <v>14</v>
      </c>
      <c r="H4" s="10">
        <f>IFERROR((B4-G4)/B4,0)</f>
        <v>0</v>
      </c>
      <c r="I4" s="11" t="s">
        <v>70</v>
      </c>
    </row>
    <row r="5" ht="24" customHeight="1" spans="1:9" x14ac:dyDescent="0.25">
      <c r="A5" s="12" t="s">
        <v>71</v>
      </c>
      <c r="B5" s="13">
        <f>COUNTA('Gates'!$A$4:$A$16)</f>
        <v>13</v>
      </c>
      <c r="C5" s="13">
        <f>COUNTIF('Gates'!$I$4:$I$16,"Pass")</f>
        <v>0</v>
      </c>
      <c r="D5" s="13">
        <f>COUNTIF('Gates'!$I$4:$I$16,"Fail")</f>
        <v>0</v>
      </c>
      <c r="E5" s="13">
        <f>COUNTIF('Gates'!$I$4:$I$16,"Blocked")</f>
        <v>0</v>
      </c>
      <c r="F5" s="13">
        <f>COUNTIF('Gates'!$I$4:$I$16,"N/A")</f>
        <v>0</v>
      </c>
      <c r="G5" s="13">
        <f>COUNTIF('Gates'!$I$4:$I$16,"Not run")</f>
        <v>13</v>
      </c>
      <c r="H5" s="14">
        <f>IFERROR((B5-G5)/B5,0)</f>
        <v>0</v>
      </c>
      <c r="I5" s="15" t="s">
        <v>72</v>
      </c>
    </row>
    <row r="6" ht="24" customHeight="1" spans="1:9" x14ac:dyDescent="0.25">
      <c r="A6" s="8" t="s">
        <v>73</v>
      </c>
      <c r="B6" s="9">
        <f>COUNTA('Acceptance'!$A$4:$A$11)</f>
        <v>8</v>
      </c>
      <c r="C6" s="9">
        <f>COUNTIF('Acceptance'!$I$4:$I$11,"Pass")</f>
        <v>0</v>
      </c>
      <c r="D6" s="9">
        <f>COUNTIF('Acceptance'!$I$4:$I$11,"Fail")</f>
        <v>0</v>
      </c>
      <c r="E6" s="9">
        <f>COUNTIF('Acceptance'!$I$4:$I$11,"Blocked")</f>
        <v>0</v>
      </c>
      <c r="F6" s="9">
        <f>COUNTIF('Acceptance'!$I$4:$I$11,"N/A")</f>
        <v>0</v>
      </c>
      <c r="G6" s="9">
        <f>COUNTIF('Acceptance'!$I$4:$I$11,"Not run")</f>
        <v>8</v>
      </c>
      <c r="H6" s="10">
        <f>IFERROR((B6-G6)/B6,0)</f>
        <v>0</v>
      </c>
      <c r="I6" s="11" t="s">
        <v>74</v>
      </c>
    </row>
    <row r="7" ht="24" customHeight="1" spans="1:9" x14ac:dyDescent="0.25">
      <c r="A7" s="12" t="s">
        <v>75</v>
      </c>
      <c r="B7" s="13">
        <f>COUNTA('Budget'!$A$4:$A$11)</f>
        <v>8</v>
      </c>
      <c r="C7" s="13">
        <f>COUNTIF('Budget'!$I$4:$I$11,"Pass")</f>
        <v>0</v>
      </c>
      <c r="D7" s="13">
        <f>COUNTIF('Budget'!$I$4:$I$11,"Fail")</f>
        <v>0</v>
      </c>
      <c r="E7" s="13">
        <f>COUNTIF('Budget'!$I$4:$I$11,"Blocked")</f>
        <v>0</v>
      </c>
      <c r="F7" s="13">
        <f>COUNTIF('Budget'!$I$4:$I$11,"N/A")</f>
        <v>0</v>
      </c>
      <c r="G7" s="13">
        <f>COUNTIF('Budget'!$I$4:$I$11,"Not run")</f>
        <v>8</v>
      </c>
      <c r="H7" s="14">
        <f>IFERROR((B7-G7)/B7,0)</f>
        <v>0</v>
      </c>
      <c r="I7" s="15" t="s">
        <v>76</v>
      </c>
    </row>
    <row r="8" ht="24" customHeight="1" spans="1:9" x14ac:dyDescent="0.25">
      <c r="A8" s="8" t="s">
        <v>77</v>
      </c>
      <c r="B8" s="9">
        <f>COUNTA('Deadline'!$A$4:$A$14)</f>
        <v>11</v>
      </c>
      <c r="C8" s="9">
        <f>COUNTIF('Deadline'!$I$4:$I$14,"Pass")</f>
        <v>0</v>
      </c>
      <c r="D8" s="9">
        <f>COUNTIF('Deadline'!$I$4:$I$14,"Fail")</f>
        <v>0</v>
      </c>
      <c r="E8" s="9">
        <f>COUNTIF('Deadline'!$I$4:$I$14,"Blocked")</f>
        <v>0</v>
      </c>
      <c r="F8" s="9">
        <f>COUNTIF('Deadline'!$I$4:$I$14,"N/A")</f>
        <v>0</v>
      </c>
      <c r="G8" s="9">
        <f>COUNTIF('Deadline'!$I$4:$I$14,"Not run")</f>
        <v>11</v>
      </c>
      <c r="H8" s="10">
        <f>IFERROR((B8-G8)/B8,0)</f>
        <v>0</v>
      </c>
      <c r="I8" s="11" t="s">
        <v>78</v>
      </c>
    </row>
    <row r="9" ht="24" customHeight="1" spans="1:9" x14ac:dyDescent="0.25">
      <c r="A9" s="12" t="s">
        <v>39</v>
      </c>
      <c r="B9" s="13">
        <f>COUNTA('Timer'!$A$4:$A$15)</f>
        <v>12</v>
      </c>
      <c r="C9" s="13">
        <f>COUNTIF('Timer'!$I$4:$I$15,"Pass")</f>
        <v>0</v>
      </c>
      <c r="D9" s="13">
        <f>COUNTIF('Timer'!$I$4:$I$15,"Fail")</f>
        <v>0</v>
      </c>
      <c r="E9" s="13">
        <f>COUNTIF('Timer'!$I$4:$I$15,"Blocked")</f>
        <v>0</v>
      </c>
      <c r="F9" s="13">
        <f>COUNTIF('Timer'!$I$4:$I$15,"N/A")</f>
        <v>0</v>
      </c>
      <c r="G9" s="13">
        <f>COUNTIF('Timer'!$I$4:$I$15,"Not run")</f>
        <v>12</v>
      </c>
      <c r="H9" s="14">
        <f>IFERROR((B9-G9)/B9,0)</f>
        <v>0</v>
      </c>
      <c r="I9" s="15" t="s">
        <v>79</v>
      </c>
    </row>
    <row r="10" ht="24" customHeight="1" spans="1:9" x14ac:dyDescent="0.25">
      <c r="A10" s="8" t="s">
        <v>80</v>
      </c>
      <c r="B10" s="9">
        <f>COUNTA('Submission'!$A$4:$A$20)</f>
        <v>17</v>
      </c>
      <c r="C10" s="9">
        <f>COUNTIF('Submission'!$I$4:$I$20,"Pass")</f>
        <v>0</v>
      </c>
      <c r="D10" s="9">
        <f>COUNTIF('Submission'!$I$4:$I$20,"Fail")</f>
        <v>0</v>
      </c>
      <c r="E10" s="9">
        <f>COUNTIF('Submission'!$I$4:$I$20,"Blocked")</f>
        <v>0</v>
      </c>
      <c r="F10" s="9">
        <f>COUNTIF('Submission'!$I$4:$I$20,"N/A")</f>
        <v>0</v>
      </c>
      <c r="G10" s="9">
        <f>COUNTIF('Submission'!$I$4:$I$20,"Not run")</f>
        <v>17</v>
      </c>
      <c r="H10" s="10">
        <f>IFERROR((B10-G10)/B10,0)</f>
        <v>0</v>
      </c>
      <c r="I10" s="11" t="s">
        <v>81</v>
      </c>
    </row>
    <row r="11" ht="24" customHeight="1" spans="1:9" x14ac:dyDescent="0.25">
      <c r="A11" s="12" t="s">
        <v>82</v>
      </c>
      <c r="B11" s="13">
        <f>COUNTA('E2E same-dept'!$A$4:$A$14)</f>
        <v>11</v>
      </c>
      <c r="C11" s="13">
        <f>COUNTIF('E2E same-dept'!$I$4:$I$14,"Pass")</f>
        <v>0</v>
      </c>
      <c r="D11" s="13">
        <f>COUNTIF('E2E same-dept'!$I$4:$I$14,"Fail")</f>
        <v>0</v>
      </c>
      <c r="E11" s="13">
        <f>COUNTIF('E2E same-dept'!$I$4:$I$14,"Blocked")</f>
        <v>0</v>
      </c>
      <c r="F11" s="13">
        <f>COUNTIF('E2E same-dept'!$I$4:$I$14,"N/A")</f>
        <v>0</v>
      </c>
      <c r="G11" s="13">
        <f>COUNTIF('E2E same-dept'!$I$4:$I$14,"Not run")</f>
        <v>11</v>
      </c>
      <c r="H11" s="14">
        <f>IFERROR((B11-G11)/B11,0)</f>
        <v>0</v>
      </c>
      <c r="I11" s="15" t="s">
        <v>83</v>
      </c>
    </row>
    <row r="12" ht="24" customHeight="1" spans="1:9" x14ac:dyDescent="0.25">
      <c r="A12" s="8" t="s">
        <v>84</v>
      </c>
      <c r="B12" s="9">
        <f>COUNTA('E2E cross-dept'!$A$4:$A$14)</f>
        <v>11</v>
      </c>
      <c r="C12" s="9">
        <f>COUNTIF('E2E cross-dept'!$I$4:$I$14,"Pass")</f>
        <v>0</v>
      </c>
      <c r="D12" s="9">
        <f>COUNTIF('E2E cross-dept'!$I$4:$I$14,"Fail")</f>
        <v>0</v>
      </c>
      <c r="E12" s="9">
        <f>COUNTIF('E2E cross-dept'!$I$4:$I$14,"Blocked")</f>
        <v>0</v>
      </c>
      <c r="F12" s="9">
        <f>COUNTIF('E2E cross-dept'!$I$4:$I$14,"N/A")</f>
        <v>0</v>
      </c>
      <c r="G12" s="9">
        <f>COUNTIF('E2E cross-dept'!$I$4:$I$14,"Not run")</f>
        <v>11</v>
      </c>
      <c r="H12" s="10">
        <f>IFERROR((B12-G12)/B12,0)</f>
        <v>0</v>
      </c>
      <c r="I12" s="11" t="s">
        <v>85</v>
      </c>
    </row>
    <row r="13" ht="24" customHeight="1" spans="1:9" x14ac:dyDescent="0.25">
      <c r="A13" s="12" t="s">
        <v>7</v>
      </c>
      <c r="B13" s="13">
        <f>COUNTA('Bar parity'!$A$4:$A$15)</f>
        <v>12</v>
      </c>
      <c r="C13" s="13">
        <f>COUNTIF('Bar parity'!$I$4:$I$15,"Pass")</f>
        <v>0</v>
      </c>
      <c r="D13" s="13">
        <f>COUNTIF('Bar parity'!$I$4:$I$15,"Fail")</f>
        <v>0</v>
      </c>
      <c r="E13" s="13">
        <f>COUNTIF('Bar parity'!$I$4:$I$15,"Blocked")</f>
        <v>0</v>
      </c>
      <c r="F13" s="13">
        <f>COUNTIF('Bar parity'!$I$4:$I$15,"N/A")</f>
        <v>0</v>
      </c>
      <c r="G13" s="13">
        <f>COUNTIF('Bar parity'!$I$4:$I$15,"Not run")</f>
        <v>12</v>
      </c>
      <c r="H13" s="14">
        <f>IFERROR((B13-G13)/B13,0)</f>
        <v>0</v>
      </c>
      <c r="I13" s="15" t="s">
        <v>86</v>
      </c>
    </row>
    <row r="14" ht="24" customHeight="1" spans="1:9" x14ac:dyDescent="0.25">
      <c r="A14" s="8" t="s">
        <v>87</v>
      </c>
      <c r="B14" s="9">
        <f>COUNTA('Visibility'!$A$4:$A$13)</f>
        <v>10</v>
      </c>
      <c r="C14" s="9">
        <f>COUNTIF('Visibility'!$I$4:$I$13,"Pass")</f>
        <v>0</v>
      </c>
      <c r="D14" s="9">
        <f>COUNTIF('Visibility'!$I$4:$I$13,"Fail")</f>
        <v>0</v>
      </c>
      <c r="E14" s="9">
        <f>COUNTIF('Visibility'!$I$4:$I$13,"Blocked")</f>
        <v>0</v>
      </c>
      <c r="F14" s="9">
        <f>COUNTIF('Visibility'!$I$4:$I$13,"N/A")</f>
        <v>0</v>
      </c>
      <c r="G14" s="9">
        <f>COUNTIF('Visibility'!$I$4:$I$13,"Not run")</f>
        <v>10</v>
      </c>
      <c r="H14" s="10">
        <f>IFERROR((B14-G14)/B14,0)</f>
        <v>0</v>
      </c>
      <c r="I14" s="11" t="s">
        <v>88</v>
      </c>
    </row>
    <row r="15" ht="24" customHeight="1" spans="1:9" x14ac:dyDescent="0.25">
      <c r="A15" s="16" t="s">
        <v>89</v>
      </c>
      <c r="B15" s="17">
        <f>SUM(B4:B14)</f>
        <v>127</v>
      </c>
      <c r="C15" s="17">
        <f>SUM(C4:C14)</f>
        <v>0</v>
      </c>
      <c r="D15" s="17">
        <f>SUM(D4:D14)</f>
        <v>0</v>
      </c>
      <c r="E15" s="17">
        <f>SUM(E4:E14)</f>
        <v>0</v>
      </c>
      <c r="F15" s="17">
        <f>SUM(F4:F14)</f>
        <v>0</v>
      </c>
      <c r="G15" s="17">
        <f>SUM(G4:G14)</f>
        <v>127</v>
      </c>
      <c r="H15" s="18">
        <f>IFERROR((B15-G15)/B15,0)</f>
        <v>0</v>
      </c>
      <c r="I15" s="16" t="s">
        <v>90</v>
      </c>
    </row>
    <row r="17" ht="20" customHeight="1" spans="1:9" x14ac:dyDescent="0.25">
      <c r="A17" s="3" t="s">
        <v>91</v>
      </c>
      <c r="B17" s="3"/>
      <c r="C17" s="3"/>
      <c r="D17" s="3"/>
      <c r="E17" s="3"/>
      <c r="F17" s="3"/>
      <c r="G17" s="3"/>
      <c r="H17" s="3"/>
      <c r="I17" s="3"/>
    </row>
    <row r="18" ht="22" customHeight="1" spans="1:9" x14ac:dyDescent="0.25">
      <c r="A18" s="19" t="s">
        <v>14</v>
      </c>
      <c r="B18" s="20" t="s">
        <v>92</v>
      </c>
      <c r="C18" s="19" t="s">
        <v>93</v>
      </c>
      <c r="D18" s="20" t="s">
        <v>92</v>
      </c>
      <c r="E18" s="21" t="s">
        <v>92</v>
      </c>
      <c r="F18" s="21" t="s">
        <v>92</v>
      </c>
      <c r="G18" s="21" t="s">
        <v>92</v>
      </c>
      <c r="H18" s="21" t="s">
        <v>92</v>
      </c>
      <c r="I18" s="21" t="s">
        <v>94</v>
      </c>
    </row>
    <row r="19" ht="22" customHeight="1" spans="1:9" x14ac:dyDescent="0.25">
      <c r="A19" s="19" t="s">
        <v>95</v>
      </c>
      <c r="B19" s="20" t="s">
        <v>92</v>
      </c>
      <c r="C19" s="19" t="s">
        <v>93</v>
      </c>
      <c r="D19" s="20" t="s">
        <v>92</v>
      </c>
      <c r="E19" s="21" t="s">
        <v>92</v>
      </c>
      <c r="F19" s="21" t="s">
        <v>92</v>
      </c>
      <c r="G19" s="21" t="s">
        <v>92</v>
      </c>
      <c r="H19" s="21" t="s">
        <v>92</v>
      </c>
      <c r="I19" s="21" t="s">
        <v>96</v>
      </c>
    </row>
    <row r="20" ht="22" customHeight="1" spans="1:9" x14ac:dyDescent="0.25">
      <c r="A20" s="19" t="s">
        <v>97</v>
      </c>
      <c r="B20" s="20" t="s">
        <v>92</v>
      </c>
      <c r="C20" s="19" t="s">
        <v>93</v>
      </c>
      <c r="D20" s="20" t="s">
        <v>92</v>
      </c>
      <c r="E20" s="21" t="s">
        <v>92</v>
      </c>
      <c r="F20" s="21" t="s">
        <v>92</v>
      </c>
      <c r="G20" s="21" t="s">
        <v>92</v>
      </c>
      <c r="H20" s="21" t="s">
        <v>92</v>
      </c>
      <c r="I20" s="21" t="s">
        <v>98</v>
      </c>
    </row>
  </sheetData>
  <mergeCells count="3">
    <mergeCell ref="A1:I1"/>
    <mergeCell ref="A2:I2"/>
    <mergeCell ref="A17:I17"/>
  </mergeCells>
  <conditionalFormatting sqref="D4:D14">
    <cfRule type="cellIs" dxfId="0" priority="1" operator="greaterThan">
      <formula>0</formula>
    </cfRule>
  </conditionalFormatting>
  <conditionalFormatting sqref="E4:E14">
    <cfRule type="cellIs" dxfId="1" priority="2" operator="greaterThan">
      <formula>0</formula>
    </cfRule>
  </conditionalFormatting>
  <pageSetup orientation="landscape" fitToWidth="1" fitToHeight="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14</vt:i4>
      </vt:variant>
    </vt:vector>
  </HeadingPairs>
  <TitlesOfParts>
    <vt:vector size="14" baseType="lpstr">
      <vt:lpstr>How to use</vt:lpstr>
      <vt:lpstr>Summary</vt:lpstr>
      <vt:lpstr>Fixtures</vt:lpstr>
      <vt:lpstr>Creation</vt:lpstr>
      <vt:lpstr>Gates</vt:lpstr>
      <vt:lpstr>Acceptance</vt:lpstr>
      <vt:lpstr>Budget</vt:lpstr>
      <vt:lpstr>Deadline</vt:lpstr>
      <vt:lpstr>Timer</vt:lpstr>
      <vt:lpstr>Submission</vt:lpstr>
      <vt:lpstr>E2E same-dept</vt:lpstr>
      <vt:lpstr>E2E cross-dept</vt:lpstr>
      <vt:lpstr>Bar parity</vt:lpstr>
      <vt:lpstr>Visibility</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Cowork QA</dc:creator>
  <dc:title/>
  <dc:subject/>
  <dc:description/>
  <cp:keywords/>
  <cp:category/>
  <cp:lastModifiedBy>Unknown</cp:lastModifiedBy>
  <dcterms:created xsi:type="dcterms:W3CDTF">2026-08-17T18:30:00Z</dcterms:created>
  <dcterms:modified xsi:type="dcterms:W3CDTF">2026-08-18T08:46:36Z</dcterms:modified>
</cp:coreProperties>
</file>